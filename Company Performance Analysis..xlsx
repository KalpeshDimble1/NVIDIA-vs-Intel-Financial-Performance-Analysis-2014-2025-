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E:\Excel Project\"/>
    </mc:Choice>
  </mc:AlternateContent>
  <xr:revisionPtr revIDLastSave="0" documentId="8_{D3D2D5E7-52AD-4C65-80EA-DE7082B21AC9}" xr6:coauthVersionLast="47" xr6:coauthVersionMax="47" xr10:uidLastSave="{00000000-0000-0000-0000-000000000000}"/>
  <bookViews>
    <workbookView xWindow="-108" yWindow="-108" windowWidth="23256" windowHeight="12456" activeTab="3" xr2:uid="{D8D932EB-2363-4BF9-88FF-77803C1B7C5D}"/>
  </bookViews>
  <sheets>
    <sheet name="Income_Profit Analysis" sheetId="1" r:id="rId1"/>
    <sheet name="Growth Rate Analysis" sheetId="2" r:id="rId2"/>
    <sheet name="Summary Dashboard" sheetId="5" r:id="rId3"/>
    <sheet name="Relevant Matrics" sheetId="6" r:id="rId4"/>
    <sheet name="Dashboad" sheetId="7" r:id="rId5"/>
  </sheets>
  <externalReferences>
    <externalReference r:id="rId6"/>
  </externalReferenc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7" l="1"/>
  <c r="H10" i="7"/>
  <c r="E10" i="7"/>
  <c r="B10" i="7"/>
  <c r="K7" i="7"/>
  <c r="H7" i="7"/>
  <c r="E7" i="7"/>
  <c r="B7" i="7"/>
  <c r="D32" i="6"/>
  <c r="D33" i="6"/>
  <c r="D34" i="6"/>
  <c r="D35" i="6"/>
  <c r="D36" i="6"/>
  <c r="D37" i="6"/>
  <c r="D38" i="6"/>
  <c r="D39" i="6"/>
  <c r="D40" i="6"/>
  <c r="D31" i="6"/>
  <c r="E32" i="6"/>
  <c r="E33" i="6"/>
  <c r="E34" i="6"/>
  <c r="E35" i="6"/>
  <c r="E36" i="6"/>
  <c r="E37" i="6"/>
  <c r="E38" i="6"/>
  <c r="E39" i="6"/>
  <c r="E40" i="6"/>
  <c r="E31" i="6"/>
  <c r="F19" i="6"/>
  <c r="I24" i="6"/>
  <c r="H24" i="6"/>
  <c r="G24" i="6"/>
  <c r="I23" i="6"/>
  <c r="H23" i="6"/>
  <c r="G23" i="6"/>
  <c r="I22" i="6"/>
  <c r="H22" i="6"/>
  <c r="G22" i="6"/>
  <c r="F22" i="6"/>
  <c r="I21" i="6"/>
  <c r="H21" i="6"/>
  <c r="G21" i="6"/>
  <c r="F21" i="6"/>
  <c r="I20" i="6"/>
  <c r="H20" i="6"/>
  <c r="G20" i="6"/>
  <c r="F20" i="6"/>
  <c r="I19" i="6"/>
  <c r="H19" i="6"/>
  <c r="G19" i="6"/>
  <c r="I18" i="6"/>
  <c r="H18" i="6"/>
  <c r="I17" i="6"/>
  <c r="I16" i="6"/>
  <c r="H16" i="6"/>
  <c r="G16" i="6"/>
  <c r="F16" i="6"/>
  <c r="J16" i="6" s="1"/>
  <c r="I15" i="6"/>
  <c r="H15" i="6"/>
  <c r="G15" i="6"/>
  <c r="I14" i="6"/>
  <c r="H14" i="6"/>
  <c r="G14" i="6"/>
  <c r="I13" i="6"/>
  <c r="H13" i="6"/>
  <c r="G18" i="6"/>
  <c r="H6" i="6"/>
  <c r="H5" i="6"/>
  <c r="I5" i="6" s="1"/>
  <c r="H4" i="6"/>
  <c r="H3" i="6"/>
  <c r="G6" i="6"/>
  <c r="G5" i="6"/>
  <c r="G4" i="6"/>
  <c r="G3" i="6"/>
  <c r="D6" i="6"/>
  <c r="D5" i="6"/>
  <c r="D4" i="6"/>
  <c r="D3" i="6"/>
  <c r="E6" i="6"/>
  <c r="E5" i="6"/>
  <c r="E4" i="6"/>
  <c r="E3" i="6"/>
  <c r="E16" i="5"/>
  <c r="D16" i="5"/>
  <c r="C16" i="5"/>
  <c r="B16" i="5"/>
  <c r="H15" i="5"/>
  <c r="G15" i="5"/>
  <c r="F15" i="5"/>
  <c r="H14" i="5"/>
  <c r="G14" i="5"/>
  <c r="F14" i="5"/>
  <c r="H13" i="5"/>
  <c r="G13" i="5"/>
  <c r="F13" i="5"/>
  <c r="H12" i="5"/>
  <c r="G12" i="5"/>
  <c r="F12" i="5"/>
  <c r="H11" i="5"/>
  <c r="G11" i="5"/>
  <c r="F11" i="5"/>
  <c r="H10" i="5"/>
  <c r="G10" i="5"/>
  <c r="F10" i="5"/>
  <c r="H9" i="5"/>
  <c r="G9" i="5"/>
  <c r="F9" i="5"/>
  <c r="H8" i="5"/>
  <c r="G8" i="5"/>
  <c r="F8" i="5"/>
  <c r="H7" i="5"/>
  <c r="G7" i="5"/>
  <c r="F7" i="5"/>
  <c r="H6" i="5"/>
  <c r="G6" i="5"/>
  <c r="F6" i="5"/>
  <c r="H5" i="5"/>
  <c r="G5" i="5"/>
  <c r="F5" i="5"/>
  <c r="H4" i="5"/>
  <c r="J21" i="6" l="1"/>
  <c r="J22" i="6"/>
  <c r="J19" i="6"/>
  <c r="F14" i="6"/>
  <c r="J14" i="6" s="1"/>
  <c r="F23" i="6"/>
  <c r="J23" i="6" s="1"/>
  <c r="F24" i="6"/>
  <c r="J24" i="6" s="1"/>
  <c r="F15" i="6"/>
  <c r="J15" i="6" s="1"/>
  <c r="J20" i="6"/>
  <c r="F13" i="6"/>
  <c r="F17" i="6"/>
  <c r="G17" i="6"/>
  <c r="G13" i="6"/>
  <c r="F18" i="6"/>
  <c r="J18" i="6" s="1"/>
  <c r="H17" i="6"/>
  <c r="I6" i="6"/>
  <c r="F5" i="6"/>
  <c r="J5" i="6" s="1"/>
  <c r="F4" i="6"/>
  <c r="F3" i="6"/>
  <c r="I3" i="6"/>
  <c r="F6" i="6"/>
  <c r="I4" i="6"/>
  <c r="F16" i="5"/>
  <c r="G16" i="5"/>
  <c r="J17" i="6" l="1"/>
  <c r="J13" i="6"/>
  <c r="J6" i="6"/>
  <c r="J4" i="6"/>
  <c r="J3" i="6"/>
</calcChain>
</file>

<file path=xl/sharedStrings.xml><?xml version="1.0" encoding="utf-8"?>
<sst xmlns="http://schemas.openxmlformats.org/spreadsheetml/2006/main" count="227" uniqueCount="94">
  <si>
    <t>Quarter</t>
  </si>
  <si>
    <t>Row Labels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</si>
  <si>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</si>
  <si>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</si>
  <si>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</si>
  <si>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</si>
  <si>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</si>
  <si>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</si>
  <si>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</si>
  <si>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</si>
  <si>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</si>
  <si>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</si>
  <si>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</si>
  <si>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</si>
  <si>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Gross Profit</t>
  </si>
  <si>
    <t>NVDIA</t>
  </si>
  <si>
    <t>INTEL</t>
  </si>
  <si>
    <t>Net Income</t>
  </si>
  <si>
    <r>
      <t xml:space="preserve">NVDIA </t>
    </r>
    <r>
      <rPr>
        <sz val="8"/>
        <color theme="1"/>
        <rFont val="Aptos Narrow"/>
        <family val="2"/>
        <scheme val="minor"/>
      </rPr>
      <t>Data Source: https://www.macrotrends.net/stocks/charts</t>
    </r>
  </si>
  <si>
    <r>
      <t xml:space="preserve">INTEL </t>
    </r>
    <r>
      <rPr>
        <sz val="8"/>
        <color theme="1"/>
        <rFont val="Aptos Narrow"/>
        <family val="2"/>
        <scheme val="minor"/>
      </rPr>
      <t>Data Source: https://www.macrotrends.net/stocks/charts</t>
    </r>
  </si>
  <si>
    <t xml:space="preserve">Gross Profit </t>
  </si>
  <si>
    <t>NVDIA Net Income</t>
  </si>
  <si>
    <t>INTEL Net Income</t>
  </si>
  <si>
    <t>NVDIA Gross Profit</t>
  </si>
  <si>
    <t>Yoy Growth Rate -  Gross Profit</t>
  </si>
  <si>
    <t xml:space="preserve">INTEL - Gross Profit </t>
  </si>
  <si>
    <t>YOY Growth Rate - Gross Profit</t>
  </si>
  <si>
    <t>NVDIA Profit Growth Rate</t>
  </si>
  <si>
    <t>NVDIA Income Growth</t>
  </si>
  <si>
    <t>INTEL Growth Rate - Gross Profit</t>
  </si>
  <si>
    <t>INTEL Revenue Growth</t>
  </si>
  <si>
    <t>Year</t>
  </si>
  <si>
    <t>YOY Net Income Growth</t>
  </si>
  <si>
    <t>YoY Net Income Growth</t>
  </si>
  <si>
    <t xml:space="preserve">INTEL Profit Growth Rate </t>
  </si>
  <si>
    <t>INTEL Net Income Growth</t>
  </si>
  <si>
    <t>NVDIA Net Income Growth</t>
  </si>
  <si>
    <t>NVIDIA Net Income</t>
  </si>
  <si>
    <t>NVIDIA Gross Profit</t>
  </si>
  <si>
    <t>Intel Net Income</t>
  </si>
  <si>
    <t>Intel Gross Profit</t>
  </si>
  <si>
    <t>NVIDIA NI Growth</t>
  </si>
  <si>
    <t>Intel NI Growth</t>
  </si>
  <si>
    <t>NVIDIA vs Intel NI Ratio</t>
  </si>
  <si>
    <t>-</t>
  </si>
  <si>
    <t>Total / Avg</t>
  </si>
  <si>
    <t>NVIDIA vs. Intel - Financial Performance Analysis (2014–2025)</t>
  </si>
  <si>
    <t>Era</t>
  </si>
  <si>
    <t>Period</t>
  </si>
  <si>
    <t>No. of
Years</t>
  </si>
  <si>
    <t>NVIDIA NI
Start ($M)</t>
  </si>
  <si>
    <t>NVIDIA NI
End ($M)</t>
  </si>
  <si>
    <t>NVIDIA
CAGR</t>
  </si>
  <si>
    <t>Intel NI
Start ($M)</t>
  </si>
  <si>
    <t>Intel NI
End ($M)</t>
  </si>
  <si>
    <t>Intel
CAGR</t>
  </si>
  <si>
    <t>Winner</t>
  </si>
  <si>
    <t>Full Period</t>
  </si>
  <si>
    <t>2014–2025</t>
  </si>
  <si>
    <t>Pre-AI Era</t>
  </si>
  <si>
    <t>2014–2019</t>
  </si>
  <si>
    <t>AI Boom Era</t>
  </si>
  <si>
    <t>2019–2025</t>
  </si>
  <si>
    <t>Peak Comparison</t>
  </si>
  <si>
    <t>2021–2025</t>
  </si>
  <si>
    <t>CAGR Analysis by Era  (Compound Annual Growth Rate)</t>
  </si>
  <si>
    <t>NVIDIA NI
($M)</t>
  </si>
  <si>
    <t>Intel NI
($M)</t>
  </si>
  <si>
    <t>NVIDIA GP
($M)</t>
  </si>
  <si>
    <t>Intel GP
($M)</t>
  </si>
  <si>
    <t>NVIDIA NI
Index</t>
  </si>
  <si>
    <t>Intel NI
Index</t>
  </si>
  <si>
    <t>NVIDIA GP
Index</t>
  </si>
  <si>
    <t>Intel GP
Index</t>
  </si>
  <si>
    <t>NI Index
Spread</t>
  </si>
  <si>
    <t>Cumulative Growth Index  (Base = 100 in 2014)</t>
  </si>
  <si>
    <t>NVIDIA
3-Yr Avg</t>
  </si>
  <si>
    <t>Intel
3-Yr Avg</t>
  </si>
  <si>
    <t>—</t>
  </si>
  <si>
    <t>Rolling 3-Year Average Net Income</t>
  </si>
  <si>
    <t>NVDIA GP</t>
  </si>
  <si>
    <t>INTEL GP</t>
  </si>
  <si>
    <t>📊  NVIDIA vs INTEL — Financial Performance Dashboard  (2014–2025)</t>
  </si>
  <si>
    <t>CAGR Analysis  |  Cumulative Growth Index  |  Rolling 3-Year Average  |  Net Income &amp; Gross Profit Trends</t>
  </si>
  <si>
    <t>▶  KEY METRICS &amp; CAGR HIGHLIGHTS (FY 2025 — Live from Sheet4)</t>
  </si>
  <si>
    <t>NVIDIA Net Income 2025
(Sheet4!B24)</t>
  </si>
  <si>
    <t>Intel Net Income 2025
(Sheet4!C24)</t>
  </si>
  <si>
    <t>NVIDIA Gross Profit 2025
(Sheet4!D24)</t>
  </si>
  <si>
    <t>Intel Gross Profit 2025
(Sheet4!E24)</t>
  </si>
  <si>
    <t>NVIDIA CAGR — Full Period
(Sheet4!F3)</t>
  </si>
  <si>
    <t>Intel CAGR — Full Period
(Sheet4!I3)</t>
  </si>
  <si>
    <t>NVIDIA CAGR — AI Boom Era
(Sheet4!F5)</t>
  </si>
  <si>
    <t>Intel CAGR — AI Boom Era
(Sheet4!I5)</t>
  </si>
  <si>
    <t>▶  CHARTS  (Data sourced from Sheet4)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</si>
</sst>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"/>
    <numFmt numFmtId="165" formatCode="#,##0;\(#,##0\);\-"/>
    <numFmt numFmtId="166" formatCode="0.00\x;\(0.00&quot;x)&quot;;\-"/>
    <numFmt numFmtId="167" formatCode="0.0%;\(0.0%\);\-"/>
    <numFmt numFmtId="168" formatCode="0.0%;\(0.0%\)"/>
    <numFmt numFmtId="169" formatCode="0.0"/>
    <numFmt numFmtId="170" formatCode="\$#,##0"/>
    <numFmt numFmtId="171" formatCode="&quot;+$&quot;#,##0;&quot;($&quot;#,##0\)"/>
    <numFmt numFmtId="172" formatCode="0.0%"/>
  </numFmts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E6655"/>
      <name val="Arial"/>
      <charset val="1"/>
    </font>
    <font>
      <sz val="10"/>
      <color rgb="FF873600"/>
      <name val="Arial"/>
      <charset val="1"/>
    </font>
    <font>
      <sz val="10"/>
      <color rgb="FF1C2833"/>
      <name val="Arial"/>
      <charset val="1"/>
    </font>
    <font>
      <b/>
      <sz val="10"/>
      <color theme="0"/>
      <name val="Arial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rgb="FF76B900"/>
      <name val="Calibri"/>
      <family val="2"/>
    </font>
    <font>
      <b/>
      <sz val="9"/>
      <color rgb="FF0068B5"/>
      <name val="Calibri"/>
      <family val="2"/>
    </font>
    <font>
      <b/>
      <sz val="9"/>
      <color rgb="FFFFFFFF"/>
      <name val="Calibri"/>
      <charset val="1"/>
    </font>
    <font>
      <sz val="9"/>
      <name val="Calibri"/>
      <charset val="1"/>
    </font>
    <font>
      <b/>
      <sz val="10"/>
      <color rgb="FFFFFFFF"/>
      <name val="Times New Roman"/>
      <family val="1"/>
    </font>
    <font>
      <b/>
      <sz val="14"/>
      <color rgb="FFFFFFFF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rgb="FFFFD700"/>
      <name val="Arial"/>
      <charset val="1"/>
    </font>
    <font>
      <i/>
      <sz val="9"/>
      <color rgb="FFB0BAC4"/>
      <name val="Arial"/>
      <charset val="1"/>
    </font>
    <font>
      <b/>
      <sz val="9"/>
      <color rgb="FFFFD700"/>
      <name val="Arial"/>
      <charset val="1"/>
    </font>
    <font>
      <sz val="8"/>
      <color rgb="FFB0BAC4"/>
      <name val="Arial"/>
      <charset val="1"/>
    </font>
    <font>
      <b/>
      <sz val="18"/>
      <color rgb="FF76B900"/>
      <name val="Arial"/>
      <charset val="1"/>
    </font>
    <font>
      <b/>
      <sz val="18"/>
      <color rgb="FFE05252"/>
      <name val="Arial"/>
      <charset val="1"/>
    </font>
    <font>
      <b/>
      <sz val="18"/>
      <color rgb="FF0071C5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A5276"/>
        <bgColor rgb="FF0E6655"/>
      </patternFill>
    </fill>
    <fill>
      <patternFill patternType="solid">
        <fgColor rgb="FFFFFFFF"/>
        <bgColor rgb="FFF5F5F5"/>
      </patternFill>
    </fill>
    <fill>
      <patternFill patternType="solid">
        <fgColor rgb="FF2C3E50"/>
        <bgColor rgb="FF1A3A5C"/>
      </patternFill>
    </fill>
    <fill>
      <patternFill patternType="solid">
        <fgColor rgb="FFFFABAB"/>
        <bgColor rgb="FFF5F5F5"/>
      </patternFill>
    </fill>
    <fill>
      <patternFill patternType="solid">
        <fgColor theme="9" tint="0.79998168889431442"/>
        <bgColor rgb="FFF5F5F5"/>
      </patternFill>
    </fill>
    <fill>
      <patternFill patternType="solid">
        <fgColor rgb="FFFFA7A7"/>
        <bgColor rgb="FFF5F5F5"/>
      </patternFill>
    </fill>
    <fill>
      <patternFill patternType="solid">
        <fgColor rgb="FF000066"/>
        <bgColor rgb="FFF5F5F5"/>
      </patternFill>
    </fill>
    <fill>
      <patternFill patternType="solid">
        <fgColor rgb="FF1A3A5C"/>
        <bgColor rgb="FF2C3E50"/>
      </patternFill>
    </fill>
    <fill>
      <patternFill patternType="solid">
        <fgColor rgb="FF1F1F2E"/>
        <bgColor rgb="FF1C2833"/>
      </patternFill>
    </fill>
    <fill>
      <patternFill patternType="solid">
        <fgColor rgb="FFF5F5F5"/>
        <bgColor rgb="FFF2F3F4"/>
      </patternFill>
    </fill>
    <fill>
      <patternFill patternType="solid">
        <fgColor rgb="FF243447"/>
        <bgColor rgb="FF2C3E50"/>
      </patternFill>
    </fill>
    <fill>
      <patternFill patternType="solid">
        <fgColor rgb="FF0F2A44"/>
        <bgColor rgb="FF1E2A3A"/>
      </patternFill>
    </fill>
    <fill>
      <patternFill patternType="solid">
        <fgColor rgb="FF1E2A3A"/>
        <bgColor rgb="FF1C2833"/>
      </patternFill>
    </fill>
  </fills>
  <borders count="1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A4A5A"/>
      </left>
      <right/>
      <top style="thin">
        <color rgb="FF3A4A5A"/>
      </top>
      <bottom style="thin">
        <color rgb="FF3A4A5A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1" fontId="0" fillId="0" borderId="2" xfId="0" applyNumberFormat="1" applyBorder="1"/>
    <xf numFmtId="1" fontId="0" fillId="0" borderId="3" xfId="0" applyNumberFormat="1" applyBorder="1"/>
    <xf numFmtId="1" fontId="0" fillId="0" borderId="0" xfId="0" applyNumberFormat="1"/>
    <xf numFmtId="0" fontId="0" fillId="3" borderId="0" xfId="0" applyFill="1"/>
    <xf numFmtId="0" fontId="1" fillId="0" borderId="5" xfId="0" applyFont="1" applyBorder="1"/>
    <xf numFmtId="14" fontId="2" fillId="2" borderId="5" xfId="0" applyNumberFormat="1" applyFont="1" applyFill="1" applyBorder="1" applyAlignment="1">
      <alignment vertical="center" wrapText="1"/>
    </xf>
    <xf numFmtId="1" fontId="2" fillId="2" borderId="5" xfId="0" applyNumberFormat="1" applyFont="1" applyFill="1" applyBorder="1" applyAlignment="1">
      <alignment vertical="center" wrapText="1"/>
    </xf>
    <xf numFmtId="0" fontId="1" fillId="0" borderId="6" xfId="0" applyFont="1" applyBorder="1"/>
    <xf numFmtId="1" fontId="0" fillId="0" borderId="5" xfId="0" applyNumberFormat="1" applyBorder="1"/>
    <xf numFmtId="1" fontId="1" fillId="0" borderId="5" xfId="0" applyNumberFormat="1" applyFont="1" applyBorder="1"/>
    <xf numFmtId="0" fontId="0" fillId="0" borderId="5" xfId="0" applyBorder="1"/>
    <xf numFmtId="14" fontId="4" fillId="0" borderId="5" xfId="0" applyNumberFormat="1" applyFont="1" applyBorder="1" applyAlignment="1">
      <alignment vertical="center"/>
    </xf>
    <xf numFmtId="164" fontId="0" fillId="0" borderId="5" xfId="0" applyNumberFormat="1" applyBorder="1"/>
    <xf numFmtId="0" fontId="0" fillId="0" borderId="5" xfId="0" pivotButton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/>
    </xf>
    <xf numFmtId="10" fontId="0" fillId="0" borderId="5" xfId="0" applyNumberFormat="1" applyBorder="1"/>
    <xf numFmtId="0" fontId="0" fillId="0" borderId="5" xfId="0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8" xfId="0" pivotButton="1" applyBorder="1"/>
    <xf numFmtId="0" fontId="0" fillId="0" borderId="9" xfId="0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1" fontId="0" fillId="0" borderId="9" xfId="0" applyNumberFormat="1" applyBorder="1"/>
    <xf numFmtId="1" fontId="0" fillId="0" borderId="11" xfId="0" applyNumberFormat="1" applyBorder="1"/>
    <xf numFmtId="0" fontId="9" fillId="5" borderId="12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165" fontId="6" fillId="6" borderId="12" xfId="0" applyNumberFormat="1" applyFont="1" applyFill="1" applyBorder="1" applyAlignment="1">
      <alignment horizontal="center" vertical="center"/>
    </xf>
    <xf numFmtId="167" fontId="6" fillId="6" borderId="12" xfId="0" applyNumberFormat="1" applyFont="1" applyFill="1" applyBorder="1" applyAlignment="1">
      <alignment horizontal="center" vertical="center"/>
    </xf>
    <xf numFmtId="165" fontId="8" fillId="7" borderId="12" xfId="0" applyNumberFormat="1" applyFont="1" applyFill="1" applyBorder="1" applyAlignment="1">
      <alignment horizontal="center" vertical="center"/>
    </xf>
    <xf numFmtId="167" fontId="8" fillId="7" borderId="12" xfId="0" applyNumberFormat="1" applyFont="1" applyFill="1" applyBorder="1" applyAlignment="1">
      <alignment horizontal="center" vertical="center"/>
    </xf>
    <xf numFmtId="167" fontId="7" fillId="7" borderId="12" xfId="0" applyNumberFormat="1" applyFont="1" applyFill="1" applyBorder="1" applyAlignment="1">
      <alignment horizontal="center" vertical="center"/>
    </xf>
    <xf numFmtId="165" fontId="7" fillId="8" borderId="12" xfId="0" applyNumberFormat="1" applyFont="1" applyFill="1" applyBorder="1" applyAlignment="1">
      <alignment horizontal="center" vertical="center"/>
    </xf>
    <xf numFmtId="165" fontId="8" fillId="8" borderId="12" xfId="0" applyNumberFormat="1" applyFont="1" applyFill="1" applyBorder="1" applyAlignment="1">
      <alignment horizontal="center" vertical="center"/>
    </xf>
    <xf numFmtId="167" fontId="7" fillId="8" borderId="12" xfId="0" applyNumberFormat="1" applyFont="1" applyFill="1" applyBorder="1" applyAlignment="1">
      <alignment horizontal="center" vertical="center"/>
    </xf>
    <xf numFmtId="167" fontId="8" fillId="8" borderId="12" xfId="0" applyNumberFormat="1" applyFont="1" applyFill="1" applyBorder="1" applyAlignment="1">
      <alignment horizontal="center" vertical="center"/>
    </xf>
    <xf numFmtId="166" fontId="9" fillId="8" borderId="12" xfId="0" applyNumberFormat="1" applyFont="1" applyFill="1" applyBorder="1" applyAlignment="1">
      <alignment horizontal="center" vertical="center"/>
    </xf>
    <xf numFmtId="166" fontId="9" fillId="9" borderId="12" xfId="0" applyNumberFormat="1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 wrapText="1"/>
    </xf>
    <xf numFmtId="0" fontId="13" fillId="13" borderId="12" xfId="0" applyFont="1" applyFill="1" applyBorder="1" applyAlignment="1">
      <alignment horizontal="center" vertical="center"/>
    </xf>
    <xf numFmtId="0" fontId="14" fillId="13" borderId="12" xfId="0" applyFont="1" applyFill="1" applyBorder="1" applyAlignment="1">
      <alignment horizontal="center" vertical="center"/>
    </xf>
    <xf numFmtId="3" fontId="14" fillId="13" borderId="12" xfId="0" applyNumberFormat="1" applyFont="1" applyFill="1" applyBorder="1" applyAlignment="1">
      <alignment horizontal="center" vertical="center"/>
    </xf>
    <xf numFmtId="168" fontId="15" fillId="13" borderId="12" xfId="0" applyNumberFormat="1" applyFont="1" applyFill="1" applyBorder="1" applyAlignment="1">
      <alignment horizontal="center" vertical="center"/>
    </xf>
    <xf numFmtId="168" fontId="16" fillId="13" borderId="12" xfId="0" applyNumberFormat="1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3" fontId="14" fillId="5" borderId="12" xfId="0" applyNumberFormat="1" applyFont="1" applyFill="1" applyBorder="1" applyAlignment="1">
      <alignment horizontal="center" vertical="center"/>
    </xf>
    <xf numFmtId="168" fontId="15" fillId="5" borderId="12" xfId="0" applyNumberFormat="1" applyFont="1" applyFill="1" applyBorder="1" applyAlignment="1">
      <alignment horizontal="center" vertical="center"/>
    </xf>
    <xf numFmtId="168" fontId="16" fillId="5" borderId="12" xfId="0" applyNumberFormat="1" applyFont="1" applyFill="1" applyBorder="1" applyAlignment="1">
      <alignment horizontal="center" vertical="center"/>
    </xf>
    <xf numFmtId="3" fontId="14" fillId="13" borderId="12" xfId="0" quotePrefix="1" applyNumberFormat="1" applyFont="1" applyFill="1" applyBorder="1" applyAlignment="1">
      <alignment horizontal="center" vertical="center"/>
    </xf>
    <xf numFmtId="169" fontId="15" fillId="13" borderId="12" xfId="0" applyNumberFormat="1" applyFont="1" applyFill="1" applyBorder="1" applyAlignment="1">
      <alignment horizontal="center" vertical="center"/>
    </xf>
    <xf numFmtId="169" fontId="16" fillId="13" borderId="12" xfId="0" applyNumberFormat="1" applyFont="1" applyFill="1" applyBorder="1" applyAlignment="1">
      <alignment horizontal="center" vertical="center"/>
    </xf>
    <xf numFmtId="169" fontId="14" fillId="13" borderId="12" xfId="0" applyNumberFormat="1" applyFont="1" applyFill="1" applyBorder="1" applyAlignment="1">
      <alignment horizontal="center" vertical="center"/>
    </xf>
    <xf numFmtId="169" fontId="15" fillId="5" borderId="12" xfId="0" applyNumberFormat="1" applyFont="1" applyFill="1" applyBorder="1" applyAlignment="1">
      <alignment horizontal="center" vertical="center"/>
    </xf>
    <xf numFmtId="169" fontId="16" fillId="5" borderId="12" xfId="0" applyNumberFormat="1" applyFont="1" applyFill="1" applyBorder="1" applyAlignment="1">
      <alignment horizontal="center" vertical="center"/>
    </xf>
    <xf numFmtId="169" fontId="14" fillId="5" borderId="12" xfId="0" applyNumberFormat="1" applyFont="1" applyFill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0" fontId="17" fillId="12" borderId="12" xfId="0" applyFont="1" applyFill="1" applyBorder="1" applyAlignment="1">
      <alignment horizontal="center" vertical="center" wrapText="1"/>
    </xf>
    <xf numFmtId="0" fontId="18" fillId="13" borderId="12" xfId="0" applyFont="1" applyFill="1" applyBorder="1" applyAlignment="1">
      <alignment horizontal="center" vertical="center"/>
    </xf>
    <xf numFmtId="3" fontId="18" fillId="13" borderId="12" xfId="0" applyNumberFormat="1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  <xf numFmtId="1" fontId="22" fillId="0" borderId="9" xfId="0" applyNumberFormat="1" applyFont="1" applyBorder="1"/>
    <xf numFmtId="164" fontId="22" fillId="0" borderId="9" xfId="0" applyNumberFormat="1" applyFont="1" applyBorder="1"/>
    <xf numFmtId="1" fontId="22" fillId="0" borderId="11" xfId="0" applyNumberFormat="1" applyFont="1" applyBorder="1"/>
    <xf numFmtId="164" fontId="22" fillId="0" borderId="11" xfId="0" applyNumberFormat="1" applyFont="1" applyBorder="1"/>
    <xf numFmtId="0" fontId="0" fillId="14" borderId="0" xfId="0" applyFill="1"/>
    <xf numFmtId="0" fontId="0" fillId="15" borderId="0" xfId="0" applyFill="1"/>
    <xf numFmtId="0" fontId="0" fillId="16" borderId="0" xfId="0" applyFill="1"/>
    <xf numFmtId="172" fontId="27" fillId="15" borderId="16" xfId="0" applyNumberFormat="1" applyFont="1" applyFill="1" applyBorder="1" applyAlignment="1">
      <alignment horizontal="center" vertical="center"/>
    </xf>
    <xf numFmtId="172" fontId="28" fillId="15" borderId="16" xfId="0" applyNumberFormat="1" applyFont="1" applyFill="1" applyBorder="1" applyAlignment="1">
      <alignment horizontal="center" vertical="center"/>
    </xf>
    <xf numFmtId="172" fontId="29" fillId="15" borderId="16" xfId="0" applyNumberFormat="1" applyFont="1" applyFill="1" applyBorder="1" applyAlignment="1">
      <alignment horizontal="center" vertical="center"/>
    </xf>
    <xf numFmtId="0" fontId="25" fillId="15" borderId="16" xfId="0" applyFont="1" applyFill="1" applyBorder="1" applyAlignment="1">
      <alignment horizontal="left" vertical="center"/>
    </xf>
    <xf numFmtId="170" fontId="27" fillId="15" borderId="16" xfId="0" applyNumberFormat="1" applyFont="1" applyFill="1" applyBorder="1" applyAlignment="1">
      <alignment horizontal="center" vertical="center"/>
    </xf>
    <xf numFmtId="171" fontId="28" fillId="15" borderId="16" xfId="0" applyNumberFormat="1" applyFont="1" applyFill="1" applyBorder="1" applyAlignment="1">
      <alignment horizontal="center" vertical="center"/>
    </xf>
    <xf numFmtId="170" fontId="29" fillId="15" borderId="16" xfId="0" applyNumberFormat="1" applyFont="1" applyFill="1" applyBorder="1" applyAlignment="1">
      <alignment horizontal="center" vertical="center"/>
    </xf>
    <xf numFmtId="0" fontId="26" fillId="15" borderId="16" xfId="0" applyFont="1" applyFill="1" applyBorder="1" applyAlignment="1">
      <alignment horizontal="center" vertical="center" wrapText="1"/>
    </xf>
    <xf numFmtId="0" fontId="23" fillId="14" borderId="16" xfId="0" applyFont="1" applyFill="1" applyBorder="1" applyAlignment="1">
      <alignment horizontal="center" vertical="center"/>
    </xf>
    <xf numFmtId="0" fontId="24" fillId="14" borderId="1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20" fillId="12" borderId="13" xfId="0" applyFont="1" applyFill="1" applyBorder="1" applyAlignment="1">
      <alignment horizontal="center" vertical="center" wrapText="1"/>
    </xf>
    <xf numFmtId="0" fontId="20" fillId="12" borderId="14" xfId="0" applyFont="1" applyFill="1" applyBorder="1" applyAlignment="1">
      <alignment horizontal="center" vertical="center" wrapText="1"/>
    </xf>
    <xf numFmtId="0" fontId="20" fillId="1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000066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Performance Analysis..xlsx]Income_Profit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NVDIA</a:t>
            </a:r>
            <a:r>
              <a:rPr lang="en-US" baseline="0"/>
              <a:t> Net Income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'Income_Profit Analysis'!$G$3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'Income_Profit Analysis'!$F$4:$F$15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'Income_Profit Analysis'!$G$4:$G$15</c:f>
              <c:numCache>
                <c:formatCode>0</c:formatCode>
                <c:ptCount val="12"/>
                <c:pt idx="0">
                  <c:v>137</c:v>
                </c:pt>
                <c:pt idx="1">
                  <c:v>134</c:v>
                </c:pt>
                <c:pt idx="2">
                  <c:v>208</c:v>
                </c:pt>
                <c:pt idx="3">
                  <c:v>507</c:v>
                </c:pt>
                <c:pt idx="4">
                  <c:v>1244</c:v>
                </c:pt>
                <c:pt idx="5">
                  <c:v>394</c:v>
                </c:pt>
                <c:pt idx="6">
                  <c:v>917</c:v>
                </c:pt>
                <c:pt idx="7">
                  <c:v>1912</c:v>
                </c:pt>
                <c:pt idx="8">
                  <c:v>1618</c:v>
                </c:pt>
                <c:pt idx="9">
                  <c:v>2043</c:v>
                </c:pt>
                <c:pt idx="10">
                  <c:v>14881</c:v>
                </c:pt>
                <c:pt idx="11">
                  <c:v>18775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8-441E-B0A8-B9F2C0035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634863"/>
        <c:axId val="1782619983"/>
      </c:barChart>
      <c:catAx>
        <c:axId val="178263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19983"/>
        <c:crosses val="autoZero"/>
        <c:auto val="1"/>
        <c:lblAlgn val="ctr"/>
        <c:lblOffset val="100"/>
        <c:noMultiLvlLbl val="0"/>
      </c:catAx>
      <c:valAx>
        <c:axId val="178261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3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Performance Analysis..xlsx]Income_Profit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NVDIA</a:t>
            </a:r>
            <a:r>
              <a:rPr lang="en-US" baseline="0"/>
              <a:t> Gross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'Income_Profit Analysis'!$G$19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'Income_Profit Analysis'!$F$20:$F$31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'Income_Profit Analysis'!$G$20:$G$31</c:f>
              <c:numCache>
                <c:formatCode>0</c:formatCode>
                <c:ptCount val="12"/>
                <c:pt idx="0">
                  <c:v>2518</c:v>
                </c:pt>
                <c:pt idx="1">
                  <c:v>2721</c:v>
                </c:pt>
                <c:pt idx="2">
                  <c:v>3550</c:v>
                </c:pt>
                <c:pt idx="3">
                  <c:v>5324</c:v>
                </c:pt>
                <c:pt idx="4">
                  <c:v>7765</c:v>
                </c:pt>
                <c:pt idx="5">
                  <c:v>5960</c:v>
                </c:pt>
                <c:pt idx="6">
                  <c:v>9254</c:v>
                </c:pt>
                <c:pt idx="7">
                  <c:v>15632</c:v>
                </c:pt>
                <c:pt idx="8">
                  <c:v>16523</c:v>
                </c:pt>
                <c:pt idx="9">
                  <c:v>31343</c:v>
                </c:pt>
                <c:pt idx="10">
                  <c:v>85927</c:v>
                </c:pt>
                <c:pt idx="11">
                  <c:v>131092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8-412C-94B8-C01682D56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666063"/>
        <c:axId val="1782667023"/>
      </c:lineChart>
      <c:catAx>
        <c:axId val="178266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67023"/>
        <c:crosses val="autoZero"/>
        <c:auto val="1"/>
        <c:lblAlgn val="ctr"/>
        <c:lblOffset val="100"/>
        <c:noMultiLvlLbl val="0"/>
      </c:catAx>
      <c:valAx>
        <c:axId val="178266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6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Performance Analysis..xlsx]Income_Profit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 - 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'Income_Profit Analysis'!$W$5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'Income_Profit Analysis'!$V$6:$V$17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'Income_Profit Analysis'!$W$6:$W$17</c:f>
              <c:numCache>
                <c:formatCode>0</c:formatCode>
                <c:ptCount val="12"/>
                <c:pt idx="0">
                  <c:v>11704</c:v>
                </c:pt>
                <c:pt idx="1">
                  <c:v>11420</c:v>
                </c:pt>
                <c:pt idx="2">
                  <c:v>10316</c:v>
                </c:pt>
                <c:pt idx="3">
                  <c:v>9601</c:v>
                </c:pt>
                <c:pt idx="4">
                  <c:v>21053</c:v>
                </c:pt>
                <c:pt idx="5">
                  <c:v>21048</c:v>
                </c:pt>
                <c:pt idx="6">
                  <c:v>20899</c:v>
                </c:pt>
                <c:pt idx="7">
                  <c:v>19868</c:v>
                </c:pt>
                <c:pt idx="8">
                  <c:v>8014</c:v>
                </c:pt>
                <c:pt idx="9">
                  <c:v>1689</c:v>
                </c:pt>
                <c:pt idx="10">
                  <c:v>-18756</c:v>
                </c:pt>
                <c:pt idx="11">
                  <c:v>-267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6-41D4-958E-4C461AD6E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676623"/>
        <c:axId val="1782681423"/>
      </c:barChart>
      <c:catAx>
        <c:axId val="178267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81423"/>
        <c:crosses val="autoZero"/>
        <c:auto val="1"/>
        <c:lblAlgn val="ctr"/>
        <c:lblOffset val="100"/>
        <c:noMultiLvlLbl val="0"/>
      </c:catAx>
      <c:valAx>
        <c:axId val="178268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7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Performance Analysis..xlsx]Income_Profit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</a:t>
            </a:r>
            <a:r>
              <a:rPr lang="en-US" baseline="0"/>
              <a:t> GROSS PROFIT YOY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'Income_Profit Analysis'!$W$21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'Income_Profit Analysis'!$V$22:$V$33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'Income_Profit Analysis'!$W$22:$W$33</c:f>
              <c:numCache>
                <c:formatCode>0</c:formatCode>
                <c:ptCount val="12"/>
                <c:pt idx="0">
                  <c:v>35609</c:v>
                </c:pt>
                <c:pt idx="1">
                  <c:v>34679</c:v>
                </c:pt>
                <c:pt idx="2">
                  <c:v>36233</c:v>
                </c:pt>
                <c:pt idx="3">
                  <c:v>39098</c:v>
                </c:pt>
                <c:pt idx="4">
                  <c:v>43737</c:v>
                </c:pt>
                <c:pt idx="5">
                  <c:v>42140</c:v>
                </c:pt>
                <c:pt idx="6">
                  <c:v>43612</c:v>
                </c:pt>
                <c:pt idx="7">
                  <c:v>43815</c:v>
                </c:pt>
                <c:pt idx="8">
                  <c:v>26866</c:v>
                </c:pt>
                <c:pt idx="9">
                  <c:v>21711</c:v>
                </c:pt>
                <c:pt idx="10">
                  <c:v>17345</c:v>
                </c:pt>
                <c:pt idx="11">
                  <c:v>18375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3-4501-9490-516746C11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574383"/>
        <c:axId val="1782581583"/>
      </c:lineChart>
      <c:catAx>
        <c:axId val="178257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81583"/>
        <c:crosses val="autoZero"/>
        <c:auto val="1"/>
        <c:lblAlgn val="ctr"/>
        <c:lblOffset val="100"/>
        <c:noMultiLvlLbl val="0"/>
      </c:catAx>
      <c:valAx>
        <c:axId val="17825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7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YOY</a:t>
            </a:r>
            <a:r>
              <a:rPr lang="en-GB" baseline="0"/>
              <a:t> Profit Growth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Rate Analysis'!$B$2</c:f>
              <c:strCache>
                <c:ptCount val="1"/>
                <c:pt idx="0">
                  <c:v>NVDIA Profit Growth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'Growth Rate Analysis'!$A$3:$A$14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'Growth Rate Analysis'!$B$3:$B$14</c:f>
              <c:numCache>
                <c:formatCode>0.00%</c:formatCode>
                <c:ptCount val="12"/>
                <c:pt idx="1">
                  <c:v>8.061953931691819E-2</c:v>
                </c:pt>
                <c:pt idx="2">
                  <c:v>0.30466740169055495</c:v>
                </c:pt>
                <c:pt idx="3">
                  <c:v>0.49971830985915494</c:v>
                </c:pt>
                <c:pt idx="4">
                  <c:v>0.45848985725018782</c:v>
                </c:pt>
                <c:pt idx="5">
                  <c:v>-0.23245331616226658</c:v>
                </c:pt>
                <c:pt idx="6">
                  <c:v>0.55268456375838926</c:v>
                </c:pt>
                <c:pt idx="7">
                  <c:v>0.68921547438945319</c:v>
                </c:pt>
                <c:pt idx="8">
                  <c:v>5.6998464687819855E-2</c:v>
                </c:pt>
                <c:pt idx="9">
                  <c:v>0.89693154996066093</c:v>
                </c:pt>
                <c:pt idx="10">
                  <c:v>1.7415052802858693</c:v>
                </c:pt>
                <c:pt idx="11">
                  <c:v>0.52562058491510233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0D-4119-A830-E91173A7FEEA}"/>
            </c:ext>
          </c:extLst>
        </c:ser>
        <c:ser>
          <c:idx val="1"/>
          <c:order val="1"/>
          <c:tx>
            <c:strRef>
              <c:f>'Growth Rate Analysis'!$C$2</c:f>
              <c:strCache>
                <c:ptCount val="1"/>
                <c:pt idx="0">
                  <c:v>INTEL Profit Growth Rate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'Growth Rate Analysis'!$A$3:$A$14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'Growth Rate Analysis'!$C$3:$C$14</c:f>
              <c:numCache>
                <c:formatCode>0.00%</c:formatCode>
                <c:ptCount val="12"/>
                <c:pt idx="1">
                  <c:v>-2.6116992895054619E-2</c:v>
                </c:pt>
                <c:pt idx="2">
                  <c:v>4.4810980708786294E-2</c:v>
                </c:pt>
                <c:pt idx="3">
                  <c:v>7.9071564595810453E-2</c:v>
                </c:pt>
                <c:pt idx="4">
                  <c:v>0.11865057036165533</c:v>
                </c:pt>
                <c:pt idx="5">
                  <c:v>-3.6513706930059217E-2</c:v>
                </c:pt>
                <c:pt idx="6">
                  <c:v>3.4931181775035597E-2</c:v>
                </c:pt>
                <c:pt idx="7">
                  <c:v>4.6546821975603043E-3</c:v>
                </c:pt>
                <c:pt idx="8">
                  <c:v>-0.38683099395184295</c:v>
                </c:pt>
                <c:pt idx="9">
                  <c:v>-0.19187821037742872</c:v>
                </c:pt>
                <c:pt idx="10">
                  <c:v>-0.20109621850674772</c:v>
                </c:pt>
                <c:pt idx="11">
                  <c:v>5.9383107523782071E-2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0D-4119-A830-E91173A7F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554223"/>
        <c:axId val="1782574863"/>
      </c:lineChart>
      <c:catAx>
        <c:axId val="178255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74863"/>
        <c:crosses val="autoZero"/>
        <c:auto val="1"/>
        <c:lblAlgn val="ctr"/>
        <c:lblOffset val="100"/>
        <c:noMultiLvlLbl val="0"/>
      </c:catAx>
      <c:valAx>
        <c:axId val="178257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5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YOY</a:t>
            </a:r>
            <a:r>
              <a:rPr lang="en-GB" baseline="0"/>
              <a:t> Income Growth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'Growth Rate Analysis'!$D$2</c:f>
              <c:strCache>
                <c:ptCount val="1"/>
                <c:pt idx="0">
                  <c:v>INTEL Net Income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'Growth Rate Analysis'!$A$3:$A$14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'Growth Rate Analysis'!$D$3:$D$14</c:f>
              <c:numCache>
                <c:formatCode>0.00%</c:formatCode>
                <c:ptCount val="12"/>
                <c:pt idx="1">
                  <c:v>-2.4265208475734792E-2</c:v>
                </c:pt>
                <c:pt idx="2">
                  <c:v>-9.6672504378283716E-2</c:v>
                </c:pt>
                <c:pt idx="3">
                  <c:v>-6.9309810003877467E-2</c:v>
                </c:pt>
                <c:pt idx="4">
                  <c:v>1.192792417456515</c:v>
                </c:pt>
                <c:pt idx="5">
                  <c:v>-2.374958438227331E-4</c:v>
                </c:pt>
                <c:pt idx="6">
                  <c:v>-7.0790573926263782E-3</c:v>
                </c:pt>
                <c:pt idx="7">
                  <c:v>-4.9332503947557296E-2</c:v>
                </c:pt>
                <c:pt idx="8">
                  <c:v>-0.59663780954298373</c:v>
                </c:pt>
                <c:pt idx="9">
                  <c:v>-0.78924382330920884</c:v>
                </c:pt>
                <c:pt idx="10">
                  <c:v>-12.104795737122558</c:v>
                </c:pt>
                <c:pt idx="11">
                  <c:v>-0.98576455534229046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3-4DFB-9CAC-7C3F45FF2F0B}"/>
            </c:ext>
          </c:extLst>
        </c:ser>
        <c:ser>
          <c:idx val="1"/>
          <c:order val="1"/>
          <c:tx>
            <c:strRef>
              <c:f>'Growth Rate Analysis'!$E$2</c:f>
              <c:strCache>
                <c:ptCount val="1"/>
                <c:pt idx="0">
                  <c:v>NVDIA Net Income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'Growth Rate Analysis'!$A$3:$A$14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'Growth Rate Analysis'!$E$3:$E$14</c:f>
              <c:numCache>
                <c:formatCode>0.00%</c:formatCode>
                <c:ptCount val="12"/>
                <c:pt idx="1">
                  <c:v>2.3931623931623933E-2</c:v>
                </c:pt>
                <c:pt idx="2">
                  <c:v>1.0350584307178632</c:v>
                </c:pt>
                <c:pt idx="3">
                  <c:v>1.1189499589827727</c:v>
                </c:pt>
                <c:pt idx="4">
                  <c:v>0.81726674409601241</c:v>
                </c:pt>
                <c:pt idx="5">
                  <c:v>-0.48636557307200684</c:v>
                </c:pt>
                <c:pt idx="6">
                  <c:v>0.58689340522604727</c:v>
                </c:pt>
                <c:pt idx="7">
                  <c:v>1.1450601150026136</c:v>
                </c:pt>
                <c:pt idx="8">
                  <c:v>-0.27427805531863042</c:v>
                </c:pt>
                <c:pt idx="9">
                  <c:v>2.1712558764271321</c:v>
                </c:pt>
                <c:pt idx="10">
                  <c:v>2.3394218551461243</c:v>
                </c:pt>
                <c:pt idx="11">
                  <c:v>0.57269916765755058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3-4DFB-9CAC-7C3F45FF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575343"/>
        <c:axId val="1782559023"/>
      </c:barChart>
      <c:catAx>
        <c:axId val="178257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59023"/>
        <c:crosses val="autoZero"/>
        <c:auto val="1"/>
        <c:lblAlgn val="ctr"/>
        <c:lblOffset val="100"/>
        <c:noMultiLvlLbl val="0"/>
      </c:catAx>
      <c:valAx>
        <c:axId val="178255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7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Cumulative Growth Index  (Base = 100 in 2014)</a:t>
            </a:r>
          </a:p>
        </c:rich>
      </c:tx>
      <c:layout>
        <c:manualLayout>
          <c:xMode val="edge"/>
          <c:yMode val="edge"/>
          <c:x val="0.17590997280013146"/>
          <c:y val="1.7718602090655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'Relevant Matrics'!$F$12</c:f>
              <c:strCache>
                <c:ptCount val="1"/>
                <c:pt idx="0">
                  <c:v>NVIDIA NI
Index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'Relevant Matrics'!$A$13:$A$24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'Relevant Matrics'!$F$13:$F$24</c:f>
              <c:numCache>
                <c:formatCode>0.0</c:formatCode>
                <c:ptCount val="12"/>
                <c:pt idx="0">
                  <c:v>100</c:v>
                </c:pt>
                <c:pt idx="1">
                  <c:v>102.39316239316238</c:v>
                </c:pt>
                <c:pt idx="2">
                  <c:v>208.37606837606839</c:v>
                </c:pt>
                <c:pt idx="3">
                  <c:v>441.53846153846155</c:v>
                </c:pt>
                <c:pt idx="4">
                  <c:v>802.39316239316236</c:v>
                </c:pt>
                <c:pt idx="5">
                  <c:v>412.13675213675208</c:v>
                </c:pt>
                <c:pt idx="6">
                  <c:v>654.017094017094</c:v>
                </c:pt>
                <c:pt idx="7">
                  <c:v>1402.9059829059829</c:v>
                </c:pt>
                <c:pt idx="8">
                  <c:v>1018.1196581196581</c:v>
                </c:pt>
                <c:pt idx="9">
                  <c:v>3228.7179487179487</c:v>
                </c:pt>
                <c:pt idx="10">
                  <c:v>10782.051282051281</c:v>
                </c:pt>
                <c:pt idx="11">
                  <c:v>16956.923076923074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2-40E9-AC6A-E8DD99606B61}"/>
            </c:ext>
          </c:extLst>
        </c:ser>
        <c:ser>
          <c:idx val="1"/>
          <c:order val="1"/>
          <c:tx>
            <c:strRef>
              <c:f>'Relevant Matrics'!$G$12</c:f>
              <c:strCache>
                <c:ptCount val="1"/>
                <c:pt idx="0">
                  <c:v>Intel NI
Index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'Relevant Matrics'!$A$13:$A$24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'Relevant Matrics'!$G$13:$G$24</c:f>
              <c:numCache>
                <c:formatCode>0.0</c:formatCode>
                <c:ptCount val="12"/>
                <c:pt idx="0">
                  <c:v>100</c:v>
                </c:pt>
                <c:pt idx="1">
                  <c:v>97.573479152426529</c:v>
                </c:pt>
                <c:pt idx="2">
                  <c:v>88.140806561859193</c:v>
                </c:pt>
                <c:pt idx="3">
                  <c:v>82.031784005468211</c:v>
                </c:pt>
                <c:pt idx="4">
                  <c:v>179.87867395762132</c:v>
                </c:pt>
                <c:pt idx="5">
                  <c:v>179.83595352016403</c:v>
                </c:pt>
                <c:pt idx="6">
                  <c:v>178.56288448393713</c:v>
                </c:pt>
                <c:pt idx="7">
                  <c:v>169.75393028024607</c:v>
                </c:pt>
                <c:pt idx="8">
                  <c:v>68.47231715652768</c:v>
                </c:pt>
                <c:pt idx="9">
                  <c:v>14.430963773069037</c:v>
                </c:pt>
                <c:pt idx="10">
                  <c:v>-160.25290498974709</c:v>
                </c:pt>
                <c:pt idx="11">
                  <c:v>-2.2812713602187289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2-40E9-AC6A-E8DD99606B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04794720"/>
        <c:axId val="704795680"/>
      </c:lineChart>
      <c:catAx>
        <c:axId val="70479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795680"/>
        <c:crosses val="autoZero"/>
        <c:auto val="1"/>
        <c:lblAlgn val="ctr"/>
        <c:lblOffset val="100"/>
        <c:noMultiLvlLbl val="0"/>
      </c:catAx>
      <c:valAx>
        <c:axId val="70479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79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Rolling 3-Year Average 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'Relevant Matrics'!$D$28:$D$30</c:f>
              <c:strCache>
                <c:ptCount val="3"/>
                <c:pt idx="0">
                  <c:v>NVIDIA
3-Yr Avg</c:v>
                </c:pt>
                <c:pt idx="1">
                  <c:v>—</c:v>
                </c:pt>
                <c:pt idx="2">
                  <c:v>—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'Relevant Matrics'!$A$31:$A$40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'Relevant Matrics'!$D$31:$D$40</c:f>
              <c:numCache>
                <c:formatCode>#,##0</c:formatCode>
                <c:ptCount val="10"/>
                <c:pt idx="0">
                  <c:v>801</c:v>
                </c:pt>
                <c:pt idx="1">
                  <c:v>1467</c:v>
                </c:pt>
                <c:pt idx="2">
                  <c:v>2832</c:v>
                </c:pt>
                <c:pt idx="3">
                  <c:v>3229.3333333333335</c:v>
                </c:pt>
                <c:pt idx="4">
                  <c:v>3643.6666666666665</c:v>
                </c:pt>
                <c:pt idx="5">
                  <c:v>4814.666666666667</c:v>
                </c:pt>
                <c:pt idx="6">
                  <c:v>5996.333333333333</c:v>
                </c:pt>
                <c:pt idx="7">
                  <c:v>11017</c:v>
                </c:pt>
                <c:pt idx="8">
                  <c:v>29306.333333333332</c:v>
                </c:pt>
                <c:pt idx="9">
                  <c:v>60387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D0-4971-BBCC-357AE28B2860}"/>
            </c:ext>
          </c:extLst>
        </c:ser>
        <c:ser>
          <c:idx val="1"/>
          <c:order val="1"/>
          <c:tx>
            <c:strRef>
              <c:f>'Relevant Matrics'!$E$28:$E$30</c:f>
              <c:strCache>
                <c:ptCount val="3"/>
                <c:pt idx="0">
                  <c:v>Intel
3-Yr Avg</c:v>
                </c:pt>
                <c:pt idx="1">
                  <c:v>—</c:v>
                </c:pt>
                <c:pt idx="2">
                  <c:v>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'Relevant Matrics'!$A$31:$A$40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'Relevant Matrics'!$E$31:$E$40</c:f>
              <c:numCache>
                <c:formatCode>#,##0</c:formatCode>
                <c:ptCount val="10"/>
                <c:pt idx="0">
                  <c:v>11146.666666666666</c:v>
                </c:pt>
                <c:pt idx="1">
                  <c:v>10445.666666666666</c:v>
                </c:pt>
                <c:pt idx="2">
                  <c:v>13656.666666666666</c:v>
                </c:pt>
                <c:pt idx="3">
                  <c:v>17234</c:v>
                </c:pt>
                <c:pt idx="4">
                  <c:v>21000</c:v>
                </c:pt>
                <c:pt idx="5">
                  <c:v>20605</c:v>
                </c:pt>
                <c:pt idx="6">
                  <c:v>16260.333333333334</c:v>
                </c:pt>
                <c:pt idx="7">
                  <c:v>9857</c:v>
                </c:pt>
                <c:pt idx="8">
                  <c:v>-3017.6666666666665</c:v>
                </c:pt>
                <c:pt idx="9">
                  <c:v>-5778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D0-4971-BBCC-357AE28B28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21925264"/>
        <c:axId val="321925744"/>
      </c:lineChart>
      <c:catAx>
        <c:axId val="32192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25744"/>
        <c:crosses val="autoZero"/>
        <c:auto val="1"/>
        <c:lblAlgn val="ctr"/>
        <c:lblOffset val="100"/>
        <c:noMultiLvlLbl val="0"/>
      </c:catAx>
      <c:valAx>
        <c:axId val="32192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2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Gross Profit: NVIDIA vs INTEL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'Relevant Matrics'!$B$49</c:f>
              <c:strCache>
                <c:ptCount val="1"/>
                <c:pt idx="0">
                  <c:v>NVDIA GP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'Relevant Matrics'!$A$50:$A$61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'Relevant Matrics'!$B$50:$B$61</c:f>
              <c:numCache>
                <c:formatCode>0</c:formatCode>
                <c:ptCount val="12"/>
                <c:pt idx="0">
                  <c:v>2518</c:v>
                </c:pt>
                <c:pt idx="1">
                  <c:v>2721</c:v>
                </c:pt>
                <c:pt idx="2">
                  <c:v>3550</c:v>
                </c:pt>
                <c:pt idx="3">
                  <c:v>5324</c:v>
                </c:pt>
                <c:pt idx="4">
                  <c:v>7765</c:v>
                </c:pt>
                <c:pt idx="5">
                  <c:v>5960</c:v>
                </c:pt>
                <c:pt idx="6">
                  <c:v>9254</c:v>
                </c:pt>
                <c:pt idx="7">
                  <c:v>15632</c:v>
                </c:pt>
                <c:pt idx="8">
                  <c:v>16523</c:v>
                </c:pt>
                <c:pt idx="9">
                  <c:v>31343</c:v>
                </c:pt>
                <c:pt idx="10">
                  <c:v>85927</c:v>
                </c:pt>
                <c:pt idx="11">
                  <c:v>131092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A-4E48-852B-089178F9E418}"/>
            </c:ext>
          </c:extLst>
        </c:ser>
        <c:ser>
          <c:idx val="1"/>
          <c:order val="1"/>
          <c:tx>
            <c:strRef>
              <c:f>'Relevant Matrics'!$C$49</c:f>
              <c:strCache>
                <c:ptCount val="1"/>
                <c:pt idx="0">
                  <c:v>INTEL GP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'Relevant Matrics'!$A$50:$A$61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'Relevant Matrics'!$C$50:$C$61</c:f>
              <c:numCache>
                <c:formatCode>#,##0.0</c:formatCode>
                <c:ptCount val="12"/>
                <c:pt idx="0">
                  <c:v>35609</c:v>
                </c:pt>
                <c:pt idx="1">
                  <c:v>34679</c:v>
                </c:pt>
                <c:pt idx="2">
                  <c:v>36233</c:v>
                </c:pt>
                <c:pt idx="3">
                  <c:v>39098</c:v>
                </c:pt>
                <c:pt idx="4">
                  <c:v>43737</c:v>
                </c:pt>
                <c:pt idx="5">
                  <c:v>42140</c:v>
                </c:pt>
                <c:pt idx="6">
                  <c:v>43612</c:v>
                </c:pt>
                <c:pt idx="7">
                  <c:v>43815</c:v>
                </c:pt>
                <c:pt idx="8">
                  <c:v>26866</c:v>
                </c:pt>
                <c:pt idx="9">
                  <c:v>21711</c:v>
                </c:pt>
                <c:pt idx="10">
                  <c:v>17345</c:v>
                </c:pt>
                <c:pt idx="11">
                  <c:v>18375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8A-4E48-852B-089178F9E41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3235424"/>
        <c:axId val="1043238304"/>
      </c:barChart>
      <c:catAx>
        <c:axId val="104323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238304"/>
        <c:crosses val="autoZero"/>
        <c:auto val="1"/>
        <c:lblAlgn val="ctr"/>
        <c:lblOffset val="100"/>
        <c:noMultiLvlLbl val="0"/>
      </c:catAx>
      <c:valAx>
        <c:axId val="104323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23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CAGR Analysis by Era  (Compound Annual Growth Rate)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'Relevant Matrics'!$F$2</c:f>
              <c:strCache>
                <c:ptCount val="1"/>
                <c:pt idx="0">
                  <c:v>NVIDIA
CAGR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'Relevant Matrics'!$B$3:$B$6</c:f>
              <c:strCache>
                <c:ptCount val="4"/>
                <c:pt idx="0">
                  <c:v>2014–2025</c:v>
                </c:pt>
                <c:pt idx="1">
                  <c:v>2014–2019</c:v>
                </c:pt>
                <c:pt idx="2">
                  <c:v>2019–2025</c:v>
                </c:pt>
                <c:pt idx="3">
                  <c:v>2021–2025</c:v>
                </c:pt>
              </c:strCache>
            </c:strRef>
          </c:cat>
          <c:val>
            <c:numRef>
              <c:f>'Relevant Matrics'!$F$3:$F$6</c:f>
              <c:numCache>
                <c:formatCode>0.0%;\(0.0%\)</c:formatCode>
                <c:ptCount val="4"/>
                <c:pt idx="0">
                  <c:v>0.5946593133516298</c:v>
                </c:pt>
                <c:pt idx="1">
                  <c:v>0.32115592745668975</c:v>
                </c:pt>
                <c:pt idx="2">
                  <c:v>0.85802242348521429</c:v>
                </c:pt>
                <c:pt idx="3">
                  <c:v>0.86457398557495346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0-45DE-89E9-C70856E53A10}"/>
            </c:ext>
          </c:extLst>
        </c:ser>
        <c:ser>
          <c:idx val="1"/>
          <c:order val="1"/>
          <c:tx>
            <c:strRef>
              <c:f>'Relevant Matrics'!$I$2</c:f>
              <c:strCache>
                <c:ptCount val="1"/>
                <c:pt idx="0">
                  <c:v>Intel
CAGR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'Relevant Matrics'!$B$3:$B$6</c:f>
              <c:strCache>
                <c:ptCount val="4"/>
                <c:pt idx="0">
                  <c:v>2014–2025</c:v>
                </c:pt>
                <c:pt idx="1">
                  <c:v>2014–2019</c:v>
                </c:pt>
                <c:pt idx="2">
                  <c:v>2019–2025</c:v>
                </c:pt>
                <c:pt idx="3">
                  <c:v>2021–2025</c:v>
                </c:pt>
              </c:strCache>
            </c:strRef>
          </c:cat>
          <c:val>
            <c:numRef>
              <c:f>'Relevant Matrics'!$I$3:$I$6</c:f>
              <c:numCache>
                <c:formatCode>0.0%;\(0.0%\)</c:formatCode>
                <c:ptCount val="4"/>
                <c:pt idx="0">
                  <c:v>-1.7091585754390062</c:v>
                </c:pt>
                <c:pt idx="1">
                  <c:v>0.12454102654175014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C0-45DE-89E9-C70856E53A1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0554672"/>
        <c:axId val="190555152"/>
      </c:barChart>
      <c:catAx>
        <c:axId val="19055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5152"/>
        <c:crosses val="autoZero"/>
        <c:auto val="1"/>
        <c:lblAlgn val="ctr"/>
        <c:lblOffset val="100"/>
        <c:noMultiLvlLbl val="0"/>
      </c:catAx>
      <c:valAx>
        <c:axId val="19055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;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Income : NVDIA vs INTEL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'Relevant Matrics'!$B$90</c:f>
              <c:strCache>
                <c:ptCount val="1"/>
                <c:pt idx="0">
                  <c:v>NVDIA 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'Relevant Matrics'!$A$91:$A$102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'Relevant Matrics'!$B$91:$B$102</c:f>
              <c:numCache>
                <c:formatCode>0</c:formatCode>
                <c:ptCount val="12"/>
                <c:pt idx="0">
                  <c:v>585</c:v>
                </c:pt>
                <c:pt idx="1">
                  <c:v>599</c:v>
                </c:pt>
                <c:pt idx="2">
                  <c:v>1219</c:v>
                </c:pt>
                <c:pt idx="3">
                  <c:v>2583</c:v>
                </c:pt>
                <c:pt idx="4">
                  <c:v>4694</c:v>
                </c:pt>
                <c:pt idx="5">
                  <c:v>2411</c:v>
                </c:pt>
                <c:pt idx="6">
                  <c:v>3826</c:v>
                </c:pt>
                <c:pt idx="7">
                  <c:v>8207</c:v>
                </c:pt>
                <c:pt idx="8">
                  <c:v>5956</c:v>
                </c:pt>
                <c:pt idx="9">
                  <c:v>18888</c:v>
                </c:pt>
                <c:pt idx="10">
                  <c:v>63075</c:v>
                </c:pt>
                <c:pt idx="11">
                  <c:v>99198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7-4B06-8D45-5ADEC899D110}"/>
            </c:ext>
          </c:extLst>
        </c:ser>
        <c:ser>
          <c:idx val="1"/>
          <c:order val="1"/>
          <c:tx>
            <c:strRef>
              <c:f>'Relevant Matrics'!$C$90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'Relevant Matrics'!$A$91:$A$102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'Relevant Matrics'!$C$91:$C$102</c:f>
              <c:numCache>
                <c:formatCode>0</c:formatCode>
                <c:ptCount val="12"/>
                <c:pt idx="0">
                  <c:v>11704</c:v>
                </c:pt>
                <c:pt idx="1">
                  <c:v>11420</c:v>
                </c:pt>
                <c:pt idx="2">
                  <c:v>10316</c:v>
                </c:pt>
                <c:pt idx="3">
                  <c:v>9601</c:v>
                </c:pt>
                <c:pt idx="4">
                  <c:v>21053</c:v>
                </c:pt>
                <c:pt idx="5">
                  <c:v>21048</c:v>
                </c:pt>
                <c:pt idx="6">
                  <c:v>20899</c:v>
                </c:pt>
                <c:pt idx="7">
                  <c:v>19868</c:v>
                </c:pt>
                <c:pt idx="8">
                  <c:v>8014</c:v>
                </c:pt>
                <c:pt idx="9">
                  <c:v>1689</c:v>
                </c:pt>
                <c:pt idx="10">
                  <c:v>-18756</c:v>
                </c:pt>
                <c:pt idx="11">
                  <c:v>-267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7-4B06-8D45-5ADEC899D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859680"/>
        <c:axId val="851860160"/>
      </c:barChart>
      <c:catAx>
        <c:axId val="85185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60160"/>
        <c:crosses val="autoZero"/>
        <c:auto val="1"/>
        <c:lblAlgn val="ctr"/>
        <c:lblOffset val="100"/>
        <c:noMultiLvlLbl val="0"/>
      </c:catAx>
      <c:valAx>
        <c:axId val="85186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Net Income Trend 2014–2025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[1]Sheet4!$B$90</c:f>
              <c:strCache>
                <c:ptCount val="1"/>
                <c:pt idx="0">
                  <c:v>NVDIA Net Income</c:v>
                </c:pt>
              </c:strCache>
            </c:strRef>
          </c:tx>
          <c:spPr>
            <a:ln w="24840">
              <a:solidFill>
                <a:srgbClr val="76B9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[1]Sheet4!$A$91:$A$102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[1]Sheet4!$B$91:$B$102</c:f>
              <c:numCache>
                <c:formatCode>General</c:formatCode>
                <c:ptCount val="12"/>
                <c:pt idx="0">
                  <c:v>585</c:v>
                </c:pt>
                <c:pt idx="1">
                  <c:v>599</c:v>
                </c:pt>
                <c:pt idx="2">
                  <c:v>1219</c:v>
                </c:pt>
                <c:pt idx="3">
                  <c:v>2583</c:v>
                </c:pt>
                <c:pt idx="4">
                  <c:v>4694</c:v>
                </c:pt>
                <c:pt idx="5">
                  <c:v>2411</c:v>
                </c:pt>
                <c:pt idx="6">
                  <c:v>3826</c:v>
                </c:pt>
                <c:pt idx="7">
                  <c:v>8207</c:v>
                </c:pt>
                <c:pt idx="8">
                  <c:v>5956</c:v>
                </c:pt>
                <c:pt idx="9">
                  <c:v>18888</c:v>
                </c:pt>
                <c:pt idx="10">
                  <c:v>63075</c:v>
                </c:pt>
                <c:pt idx="11">
                  <c:v>99198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C9-4F56-A58D-604E68FFDC5E}"/>
            </c:ext>
          </c:extLst>
        </c:ser>
        <c:ser>
          <c:idx val="1"/>
          <c:order val="1"/>
          <c:tx>
            <c:strRef>
              <c:f>[1]Sheet4!$C$90</c:f>
              <c:strCache>
                <c:ptCount val="1"/>
                <c:pt idx="0">
                  <c:v>Net Income</c:v>
                </c:pt>
              </c:strCache>
            </c:strRef>
          </c:tx>
          <c:spPr>
            <a:ln w="24840">
              <a:solidFill>
                <a:srgbClr val="0071C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[1]Sheet4!$A$91:$A$102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[1]Sheet4!$C$91:$C$102</c:f>
              <c:numCache>
                <c:formatCode>General</c:formatCode>
                <c:ptCount val="12"/>
                <c:pt idx="0">
                  <c:v>11704</c:v>
                </c:pt>
                <c:pt idx="1">
                  <c:v>11420</c:v>
                </c:pt>
                <c:pt idx="2">
                  <c:v>10316</c:v>
                </c:pt>
                <c:pt idx="3">
                  <c:v>9601</c:v>
                </c:pt>
                <c:pt idx="4">
                  <c:v>21053</c:v>
                </c:pt>
                <c:pt idx="5">
                  <c:v>21048</c:v>
                </c:pt>
                <c:pt idx="6">
                  <c:v>20899</c:v>
                </c:pt>
                <c:pt idx="7">
                  <c:v>19868</c:v>
                </c:pt>
                <c:pt idx="8">
                  <c:v>8014</c:v>
                </c:pt>
                <c:pt idx="9">
                  <c:v>1689</c:v>
                </c:pt>
                <c:pt idx="10">
                  <c:v>-18756</c:v>
                </c:pt>
                <c:pt idx="11">
                  <c:v>-267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C9-4F56-A58D-604E68FF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868479"/>
        <c:axId val="25079459"/>
      </c:lineChart>
      <c:catAx>
        <c:axId val="178684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25079459"/>
        <c:crosses val="autoZero"/>
        <c:auto val="1"/>
        <c:lblAlgn val="ctr"/>
        <c:lblOffset val="100"/>
        <c:noMultiLvlLbl val="0"/>
      </c:catAx>
      <c:valAx>
        <c:axId val="2507945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78684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Gross Profit Comparison 2014–2025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[1]Sheet4!$B$49</c:f>
              <c:strCache>
                <c:ptCount val="1"/>
                <c:pt idx="0">
                  <c:v>NVDIA GP</c:v>
                </c:pt>
              </c:strCache>
            </c:strRef>
          </c:tx>
          <c:spPr>
            <a:solidFill>
              <a:srgbClr val="76B900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[1]Sheet4!$A$50:$A$61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[1]Sheet4!$B$50:$B$61</c:f>
              <c:numCache>
                <c:formatCode>General</c:formatCode>
                <c:ptCount val="12"/>
                <c:pt idx="0">
                  <c:v>2518</c:v>
                </c:pt>
                <c:pt idx="1">
                  <c:v>2721</c:v>
                </c:pt>
                <c:pt idx="2">
                  <c:v>3550</c:v>
                </c:pt>
                <c:pt idx="3">
                  <c:v>5324</c:v>
                </c:pt>
                <c:pt idx="4">
                  <c:v>7765</c:v>
                </c:pt>
                <c:pt idx="5">
                  <c:v>5960</c:v>
                </c:pt>
                <c:pt idx="6">
                  <c:v>9254</c:v>
                </c:pt>
                <c:pt idx="7">
                  <c:v>15632</c:v>
                </c:pt>
                <c:pt idx="8">
                  <c:v>16523</c:v>
                </c:pt>
                <c:pt idx="9">
                  <c:v>31343</c:v>
                </c:pt>
                <c:pt idx="10">
                  <c:v>85927</c:v>
                </c:pt>
                <c:pt idx="11">
                  <c:v>131092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C-4E23-920E-BE25EE3C439D}"/>
            </c:ext>
          </c:extLst>
        </c:ser>
        <c:ser>
          <c:idx val="1"/>
          <c:order val="1"/>
          <c:tx>
            <c:strRef>
              <c:f>[1]Sheet4!$C$49</c:f>
              <c:strCache>
                <c:ptCount val="1"/>
                <c:pt idx="0">
                  <c:v>INTEL GP</c:v>
                </c:pt>
              </c:strCache>
            </c:strRef>
          </c:tx>
          <c:spPr>
            <a:solidFill>
              <a:srgbClr val="0071C5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[1]Sheet4!$A$50:$A$61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[1]Sheet4!$C$50:$C$61</c:f>
              <c:numCache>
                <c:formatCode>General</c:formatCode>
                <c:ptCount val="12"/>
                <c:pt idx="0">
                  <c:v>35609</c:v>
                </c:pt>
                <c:pt idx="1">
                  <c:v>34679</c:v>
                </c:pt>
                <c:pt idx="2">
                  <c:v>36233</c:v>
                </c:pt>
                <c:pt idx="3">
                  <c:v>39098</c:v>
                </c:pt>
                <c:pt idx="4">
                  <c:v>43737</c:v>
                </c:pt>
                <c:pt idx="5">
                  <c:v>42140</c:v>
                </c:pt>
                <c:pt idx="6">
                  <c:v>43612</c:v>
                </c:pt>
                <c:pt idx="7">
                  <c:v>43815</c:v>
                </c:pt>
                <c:pt idx="8">
                  <c:v>26866</c:v>
                </c:pt>
                <c:pt idx="9">
                  <c:v>21711</c:v>
                </c:pt>
                <c:pt idx="10">
                  <c:v>17345</c:v>
                </c:pt>
                <c:pt idx="11">
                  <c:v>18375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7C-4E23-920E-BE25EE3C4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360738"/>
        <c:axId val="80390209"/>
      </c:barChart>
      <c:catAx>
        <c:axId val="763607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0390209"/>
        <c:crosses val="autoZero"/>
        <c:auto val="1"/>
        <c:lblAlgn val="ctr"/>
        <c:lblOffset val="100"/>
        <c:noMultiLvlLbl val="0"/>
      </c:catAx>
      <c:valAx>
        <c:axId val="8039020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63607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Cumulative NI Growth Index (Base 100 = 2014)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[1]Sheet4!$F$12</c:f>
              <c:strCache>
                <c:ptCount val="1"/>
                <c:pt idx="0">
                  <c:v>NVIDIA NI
Index</c:v>
                </c:pt>
              </c:strCache>
            </c:strRef>
          </c:tx>
          <c:spPr>
            <a:ln w="24840">
              <a:solidFill>
                <a:srgbClr val="76B9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[1]Sheet4!$A$13:$A$24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[1]Sheet4!$F$13:$F$24</c:f>
              <c:numCache>
                <c:formatCode>General</c:formatCode>
                <c:ptCount val="12"/>
                <c:pt idx="0">
                  <c:v>100</c:v>
                </c:pt>
                <c:pt idx="1">
                  <c:v>102.39316239316238</c:v>
                </c:pt>
                <c:pt idx="2">
                  <c:v>208.37606837606839</c:v>
                </c:pt>
                <c:pt idx="3">
                  <c:v>441.53846153846155</c:v>
                </c:pt>
                <c:pt idx="4">
                  <c:v>802.39316239316236</c:v>
                </c:pt>
                <c:pt idx="5">
                  <c:v>412.13675213675208</c:v>
                </c:pt>
                <c:pt idx="6">
                  <c:v>654.017094017094</c:v>
                </c:pt>
                <c:pt idx="7">
                  <c:v>1402.9059829059829</c:v>
                </c:pt>
                <c:pt idx="8">
                  <c:v>1018.1196581196581</c:v>
                </c:pt>
                <c:pt idx="9">
                  <c:v>3228.7179487179487</c:v>
                </c:pt>
                <c:pt idx="10">
                  <c:v>10782.051282051281</c:v>
                </c:pt>
                <c:pt idx="11">
                  <c:v>16956.923076923074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35-45A9-A162-4B3FE67545D0}"/>
            </c:ext>
          </c:extLst>
        </c:ser>
        <c:ser>
          <c:idx val="1"/>
          <c:order val="1"/>
          <c:tx>
            <c:strRef>
              <c:f>[1]Sheet4!$G$12</c:f>
              <c:strCache>
                <c:ptCount val="1"/>
                <c:pt idx="0">
                  <c:v>Intel NI
Index</c:v>
                </c:pt>
              </c:strCache>
            </c:strRef>
          </c:tx>
          <c:spPr>
            <a:ln w="24840">
              <a:solidFill>
                <a:srgbClr val="0071C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[1]Sheet4!$A$13:$A$24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[1]Sheet4!$G$13:$G$24</c:f>
              <c:numCache>
                <c:formatCode>General</c:formatCode>
                <c:ptCount val="12"/>
                <c:pt idx="0">
                  <c:v>100</c:v>
                </c:pt>
                <c:pt idx="1">
                  <c:v>97.573479152426529</c:v>
                </c:pt>
                <c:pt idx="2">
                  <c:v>88.140806561859193</c:v>
                </c:pt>
                <c:pt idx="3">
                  <c:v>82.031784005468211</c:v>
                </c:pt>
                <c:pt idx="4">
                  <c:v>179.87867395762132</c:v>
                </c:pt>
                <c:pt idx="5">
                  <c:v>179.83595352016403</c:v>
                </c:pt>
                <c:pt idx="6">
                  <c:v>178.56288448393713</c:v>
                </c:pt>
                <c:pt idx="7">
                  <c:v>169.75393028024607</c:v>
                </c:pt>
                <c:pt idx="8">
                  <c:v>68.47231715652768</c:v>
                </c:pt>
                <c:pt idx="9">
                  <c:v>14.430963773069037</c:v>
                </c:pt>
                <c:pt idx="10">
                  <c:v>-160.25290498974709</c:v>
                </c:pt>
                <c:pt idx="11">
                  <c:v>-2.2812713602187289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B35-45A9-A162-4B3FE6754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620142"/>
        <c:axId val="83551333"/>
      </c:lineChart>
      <c:catAx>
        <c:axId val="616201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3551333"/>
        <c:crosses val="autoZero"/>
        <c:auto val="1"/>
        <c:lblAlgn val="ctr"/>
        <c:lblOffset val="100"/>
        <c:noMultiLvlLbl val="0"/>
      </c:catAx>
      <c:valAx>
        <c:axId val="83551333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16201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Rolling 3-Year Average Net Income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[1]Sheet4!$D$28</c:f>
              <c:strCache>
                <c:ptCount val="1"/>
                <c:pt idx="0">
                  <c:v>NVIDIA
3-Yr Avg</c:v>
                </c:pt>
              </c:strCache>
            </c:strRef>
          </c:tx>
          <c:spPr>
            <a:ln w="24840">
              <a:solidFill>
                <a:srgbClr val="76B9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[1]Sheet4!$A$31:$A$40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[1]Sheet4!$D$29:$D$40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801</c:v>
                </c:pt>
                <c:pt idx="3">
                  <c:v>1467</c:v>
                </c:pt>
                <c:pt idx="4">
                  <c:v>2832</c:v>
                </c:pt>
                <c:pt idx="5">
                  <c:v>3229.3333333333335</c:v>
                </c:pt>
                <c:pt idx="6">
                  <c:v>3643.6666666666665</c:v>
                </c:pt>
                <c:pt idx="7">
                  <c:v>4814.666666666667</c:v>
                </c:pt>
                <c:pt idx="8">
                  <c:v>5996.333333333333</c:v>
                </c:pt>
                <c:pt idx="9">
                  <c:v>11017</c:v>
                </c:pt>
                <c:pt idx="10">
                  <c:v>29306.333333333332</c:v>
                </c:pt>
                <c:pt idx="11">
                  <c:v>60387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69-4BA4-BB9F-46FD58162DC0}"/>
            </c:ext>
          </c:extLst>
        </c:ser>
        <c:ser>
          <c:idx val="1"/>
          <c:order val="1"/>
          <c:tx>
            <c:strRef>
              <c:f>[1]Sheet4!$E$28</c:f>
              <c:strCache>
                <c:ptCount val="1"/>
                <c:pt idx="0">
                  <c:v>Intel
3-Yr Avg</c:v>
                </c:pt>
              </c:strCache>
            </c:strRef>
          </c:tx>
          <c:spPr>
            <a:ln w="24840">
              <a:solidFill>
                <a:srgbClr val="0071C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[1]Sheet4!$A$31:$A$40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[1]Sheet4!$E$29:$E$40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11146.666666666666</c:v>
                </c:pt>
                <c:pt idx="3">
                  <c:v>10445.666666666666</c:v>
                </c:pt>
                <c:pt idx="4">
                  <c:v>13656.666666666666</c:v>
                </c:pt>
                <c:pt idx="5">
                  <c:v>17234</c:v>
                </c:pt>
                <c:pt idx="6">
                  <c:v>21000</c:v>
                </c:pt>
                <c:pt idx="7">
                  <c:v>20605</c:v>
                </c:pt>
                <c:pt idx="8">
                  <c:v>16260.333333333334</c:v>
                </c:pt>
                <c:pt idx="9">
                  <c:v>9857</c:v>
                </c:pt>
                <c:pt idx="10">
                  <c:v>-3017.6666666666665</c:v>
                </c:pt>
                <c:pt idx="11">
                  <c:v>-5778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69-4BA4-BB9F-46FD58162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857546"/>
        <c:axId val="92171132"/>
      </c:lineChart>
      <c:catAx>
        <c:axId val="648575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2171132"/>
        <c:crosses val="autoZero"/>
        <c:auto val="1"/>
        <c:lblAlgn val="ctr"/>
        <c:lblOffset val="100"/>
        <c:noMultiLvlLbl val="0"/>
      </c:catAx>
      <c:valAx>
        <c:axId val="9217113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48575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</xdr:colOff>
      <xdr:row>2</xdr:row>
      <xdr:rowOff>12699</xdr:rowOff>
    </xdr:from>
    <xdr:to>
      <xdr:col>12</xdr:col>
      <xdr:colOff>552450</xdr:colOff>
      <xdr:row>16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94A54C-A342-0AF2-52FF-9D54F2ED1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127000</xdr:colOff>
      <xdr:row>18</xdr:row>
      <xdr:rowOff>69850</xdr:rowOff>
    </xdr:from>
    <xdr:to>
      <xdr:col>12</xdr:col>
      <xdr:colOff>558800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E40180-71D0-12F5-394C-ACBDB7E7B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206375</xdr:colOff>
      <xdr:row>4</xdr:row>
      <xdr:rowOff>9525</xdr:rowOff>
    </xdr:from>
    <xdr:to>
      <xdr:col>30</xdr:col>
      <xdr:colOff>511175</xdr:colOff>
      <xdr:row>18</xdr:row>
      <xdr:rowOff>174625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1C0F68-BC63-11E0-8A8B-35908E903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200025</xdr:colOff>
      <xdr:row>20</xdr:row>
      <xdr:rowOff>22225</xdr:rowOff>
    </xdr:from>
    <xdr:to>
      <xdr:col>30</xdr:col>
      <xdr:colOff>504825</xdr:colOff>
      <xdr:row>33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18BD1D-92FC-3647-BCC3-9C5E18F97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212724</xdr:colOff>
      <xdr:row>15</xdr:row>
      <xdr:rowOff>19050</xdr:rowOff>
    </xdr:from>
    <xdr:to>
      <xdr:col>4</xdr:col>
      <xdr:colOff>998219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1C2AF-CC01-C43A-2F13-57A0F82CE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212724</xdr:colOff>
      <xdr:row>31</xdr:row>
      <xdr:rowOff>0</xdr:rowOff>
    </xdr:from>
    <xdr:to>
      <xdr:col>5</xdr:col>
      <xdr:colOff>7619</xdr:colOff>
      <xdr:row>45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C11C18-1754-6C9F-6E55-F07D4AB15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545038</xdr:colOff>
      <xdr:row>17</xdr:row>
      <xdr:rowOff>115407</xdr:rowOff>
    </xdr:from>
    <xdr:to>
      <xdr:col>22</xdr:col>
      <xdr:colOff>64080</xdr:colOff>
      <xdr:row>38</xdr:row>
      <xdr:rowOff>142230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AB89BC-2913-1FA1-5B22-84C847788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579048</xdr:colOff>
      <xdr:row>42</xdr:row>
      <xdr:rowOff>20960</xdr:rowOff>
    </xdr:from>
    <xdr:to>
      <xdr:col>21</xdr:col>
      <xdr:colOff>604346</xdr:colOff>
      <xdr:row>60</xdr:row>
      <xdr:rowOff>52552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B3F07F-F6B9-1504-AA17-EF403EBC0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566615</xdr:colOff>
      <xdr:row>64</xdr:row>
      <xdr:rowOff>60923</xdr:rowOff>
    </xdr:from>
    <xdr:to>
      <xdr:col>21</xdr:col>
      <xdr:colOff>604345</xdr:colOff>
      <xdr:row>84</xdr:row>
      <xdr:rowOff>8758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3737F2-6339-47AC-39EB-1FF08FD1C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537882</xdr:colOff>
      <xdr:row>1</xdr:row>
      <xdr:rowOff>154550</xdr:rowOff>
    </xdr:from>
    <xdr:to>
      <xdr:col>22</xdr:col>
      <xdr:colOff>17517</xdr:colOff>
      <xdr:row>16</xdr:row>
      <xdr:rowOff>70069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D81D4FE-6236-A5E0-5964-30C5CB144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13138</xdr:colOff>
      <xdr:row>87</xdr:row>
      <xdr:rowOff>178676</xdr:rowOff>
    </xdr:from>
    <xdr:to>
      <xdr:col>17</xdr:col>
      <xdr:colOff>131379</xdr:colOff>
      <xdr:row>105</xdr:row>
      <xdr:rowOff>157655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18BD756-F7AC-9360-F759-E577A8D65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5</xdr:col>
      <xdr:colOff>939900</xdr:colOff>
      <xdr:row>31</xdr:row>
      <xdr:rowOff>88680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3A929-E0EC-464D-B344-9873CC5EE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11</xdr:col>
      <xdr:colOff>940260</xdr:colOff>
      <xdr:row>31</xdr:row>
      <xdr:rowOff>88680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3A916E-0C85-4A43-9FDC-390118F1C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5</xdr:col>
      <xdr:colOff>939900</xdr:colOff>
      <xdr:row>53</xdr:row>
      <xdr:rowOff>180120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3BFF28-8BFC-4C33-9528-241C656B8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32</xdr:row>
      <xdr:rowOff>0</xdr:rowOff>
    </xdr:from>
    <xdr:to>
      <xdr:col>11</xdr:col>
      <xdr:colOff>940260</xdr:colOff>
      <xdr:row>53</xdr:row>
      <xdr:rowOff>180120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61A214-6EB9-450A-BF10-301E3C640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shada\Downloads\dashboard_final.xlsx" TargetMode="External"/><Relationship Id="rId1" Type="http://schemas.openxmlformats.org/officeDocument/2006/relationships/externalLinkPath" Target="file:///C:\Users\Harshada\Downloads\dashboard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Income_Profit Analysis"/>
      <sheetName val="Growth Rate Analysis"/>
      <sheetName val="Summary Dashboard"/>
      <sheetName val="Sheet4"/>
    </sheetNames>
    <sheetDataSet>
      <sheetData sheetId="0"/>
      <sheetData sheetId="1"/>
      <sheetData sheetId="2"/>
      <sheetData sheetId="3"/>
      <sheetData sheetId="4">
        <row r="3">
          <cell r="F3">
            <v>0.5946593133516298</v>
          </cell>
          <cell r="I3">
            <v>-1.7091585754390062</v>
          </cell>
        </row>
        <row r="5">
          <cell r="F5">
            <v>0.85802242348521429</v>
          </cell>
          <cell r="I5" t="str">
            <v>N/A</v>
          </cell>
        </row>
        <row r="12">
          <cell r="F12" t="str">
            <v>NVIDIA NI
Index</v>
          </cell>
          <cell r="G12" t="str">
            <v>Intel NI
Index</v>
          </cell>
        </row>
        <row r="13">
          <cell r="A13">
            <v>2014</v>
          </cell>
          <cell r="F13">
            <v>100</v>
          </cell>
          <cell r="G13">
            <v>100</v>
          </cell>
        </row>
        <row r="14">
          <cell r="A14">
            <v>2015</v>
          </cell>
          <cell r="F14">
            <v>102.39316239316238</v>
          </cell>
          <cell r="G14">
            <v>97.573479152426529</v>
          </cell>
        </row>
        <row r="15">
          <cell r="A15">
            <v>2016</v>
          </cell>
          <cell r="F15">
            <v>208.37606837606839</v>
          </cell>
          <cell r="G15">
            <v>88.140806561859193</v>
          </cell>
        </row>
        <row r="16">
          <cell r="A16">
            <v>2017</v>
          </cell>
          <cell r="F16">
            <v>441.53846153846155</v>
          </cell>
          <cell r="G16">
            <v>82.031784005468211</v>
          </cell>
        </row>
        <row r="17">
          <cell r="A17">
            <v>2018</v>
          </cell>
          <cell r="F17">
            <v>802.39316239316236</v>
          </cell>
          <cell r="G17">
            <v>179.87867395762132</v>
          </cell>
        </row>
        <row r="18">
          <cell r="A18">
            <v>2019</v>
          </cell>
          <cell r="F18">
            <v>412.13675213675208</v>
          </cell>
          <cell r="G18">
            <v>179.83595352016403</v>
          </cell>
        </row>
        <row r="19">
          <cell r="A19">
            <v>2020</v>
          </cell>
          <cell r="F19">
            <v>654.017094017094</v>
          </cell>
          <cell r="G19">
            <v>178.56288448393713</v>
          </cell>
        </row>
        <row r="20">
          <cell r="A20">
            <v>2021</v>
          </cell>
          <cell r="F20">
            <v>1402.9059829059829</v>
          </cell>
          <cell r="G20">
            <v>169.75393028024607</v>
          </cell>
        </row>
        <row r="21">
          <cell r="A21">
            <v>2022</v>
          </cell>
          <cell r="F21">
            <v>1018.1196581196581</v>
          </cell>
          <cell r="G21">
            <v>68.47231715652768</v>
          </cell>
        </row>
        <row r="22">
          <cell r="A22">
            <v>2023</v>
          </cell>
          <cell r="F22">
            <v>3228.7179487179487</v>
          </cell>
          <cell r="G22">
            <v>14.430963773069037</v>
          </cell>
        </row>
        <row r="23">
          <cell r="A23">
            <v>2024</v>
          </cell>
          <cell r="F23">
            <v>10782.051282051281</v>
          </cell>
          <cell r="G23">
            <v>-160.25290498974709</v>
          </cell>
        </row>
        <row r="24">
          <cell r="A24">
            <v>2025</v>
          </cell>
          <cell r="B24">
            <v>99198</v>
          </cell>
          <cell r="C24">
            <v>-267</v>
          </cell>
          <cell r="D24">
            <v>131092</v>
          </cell>
          <cell r="E24">
            <v>18375</v>
          </cell>
          <cell r="F24">
            <v>16956.923076923074</v>
          </cell>
          <cell r="G24">
            <v>-2.2812713602187289</v>
          </cell>
        </row>
        <row r="28">
          <cell r="D28" t="str">
            <v>NVIDIA
3-Yr Avg</v>
          </cell>
          <cell r="E28" t="str">
            <v>Intel
3-Yr Avg</v>
          </cell>
        </row>
        <row r="29">
          <cell r="D29" t="str">
            <v>—</v>
          </cell>
          <cell r="E29" t="str">
            <v>—</v>
          </cell>
        </row>
        <row r="30">
          <cell r="D30" t="str">
            <v>—</v>
          </cell>
          <cell r="E30" t="str">
            <v>—</v>
          </cell>
        </row>
        <row r="31">
          <cell r="A31">
            <v>2016</v>
          </cell>
          <cell r="D31">
            <v>801</v>
          </cell>
          <cell r="E31">
            <v>11146.666666666666</v>
          </cell>
        </row>
        <row r="32">
          <cell r="A32">
            <v>2017</v>
          </cell>
          <cell r="D32">
            <v>1467</v>
          </cell>
          <cell r="E32">
            <v>10445.666666666666</v>
          </cell>
        </row>
        <row r="33">
          <cell r="A33">
            <v>2018</v>
          </cell>
          <cell r="D33">
            <v>2832</v>
          </cell>
          <cell r="E33">
            <v>13656.666666666666</v>
          </cell>
        </row>
        <row r="34">
          <cell r="A34">
            <v>2019</v>
          </cell>
          <cell r="D34">
            <v>3229.3333333333335</v>
          </cell>
          <cell r="E34">
            <v>17234</v>
          </cell>
        </row>
        <row r="35">
          <cell r="A35">
            <v>2020</v>
          </cell>
          <cell r="D35">
            <v>3643.6666666666665</v>
          </cell>
          <cell r="E35">
            <v>21000</v>
          </cell>
        </row>
        <row r="36">
          <cell r="A36">
            <v>2021</v>
          </cell>
          <cell r="D36">
            <v>4814.666666666667</v>
          </cell>
          <cell r="E36">
            <v>20605</v>
          </cell>
        </row>
        <row r="37">
          <cell r="A37">
            <v>2022</v>
          </cell>
          <cell r="D37">
            <v>5996.333333333333</v>
          </cell>
          <cell r="E37">
            <v>16260.333333333334</v>
          </cell>
        </row>
        <row r="38">
          <cell r="A38">
            <v>2023</v>
          </cell>
          <cell r="D38">
            <v>11017</v>
          </cell>
          <cell r="E38">
            <v>9857</v>
          </cell>
        </row>
        <row r="39">
          <cell r="A39">
            <v>2024</v>
          </cell>
          <cell r="D39">
            <v>29306.333333333332</v>
          </cell>
          <cell r="E39">
            <v>-3017.6666666666665</v>
          </cell>
        </row>
        <row r="40">
          <cell r="A40">
            <v>2025</v>
          </cell>
          <cell r="D40">
            <v>60387</v>
          </cell>
          <cell r="E40">
            <v>-5778</v>
          </cell>
        </row>
        <row r="49">
          <cell r="B49" t="str">
            <v>NVDIA GP</v>
          </cell>
          <cell r="C49" t="str">
            <v>INTEL GP</v>
          </cell>
        </row>
        <row r="50">
          <cell r="A50">
            <v>2014</v>
          </cell>
          <cell r="B50">
            <v>2518</v>
          </cell>
          <cell r="C50">
            <v>35609</v>
          </cell>
        </row>
        <row r="51">
          <cell r="A51">
            <v>2015</v>
          </cell>
          <cell r="B51">
            <v>2721</v>
          </cell>
          <cell r="C51">
            <v>34679</v>
          </cell>
        </row>
        <row r="52">
          <cell r="A52">
            <v>2016</v>
          </cell>
          <cell r="B52">
            <v>3550</v>
          </cell>
          <cell r="C52">
            <v>36233</v>
          </cell>
        </row>
        <row r="53">
          <cell r="A53">
            <v>2017</v>
          </cell>
          <cell r="B53">
            <v>5324</v>
          </cell>
          <cell r="C53">
            <v>39098</v>
          </cell>
        </row>
        <row r="54">
          <cell r="A54">
            <v>2018</v>
          </cell>
          <cell r="B54">
            <v>7765</v>
          </cell>
          <cell r="C54">
            <v>43737</v>
          </cell>
        </row>
        <row r="55">
          <cell r="A55">
            <v>2019</v>
          </cell>
          <cell r="B55">
            <v>5960</v>
          </cell>
          <cell r="C55">
            <v>42140</v>
          </cell>
        </row>
        <row r="56">
          <cell r="A56">
            <v>2020</v>
          </cell>
          <cell r="B56">
            <v>9254</v>
          </cell>
          <cell r="C56">
            <v>43612</v>
          </cell>
        </row>
        <row r="57">
          <cell r="A57">
            <v>2021</v>
          </cell>
          <cell r="B57">
            <v>15632</v>
          </cell>
          <cell r="C57">
            <v>43815</v>
          </cell>
        </row>
        <row r="58">
          <cell r="A58">
            <v>2022</v>
          </cell>
          <cell r="B58">
            <v>16523</v>
          </cell>
          <cell r="C58">
            <v>26866</v>
          </cell>
        </row>
        <row r="59">
          <cell r="A59">
            <v>2023</v>
          </cell>
          <cell r="B59">
            <v>31343</v>
          </cell>
          <cell r="C59">
            <v>21711</v>
          </cell>
        </row>
        <row r="60">
          <cell r="A60">
            <v>2024</v>
          </cell>
          <cell r="B60">
            <v>85927</v>
          </cell>
          <cell r="C60">
            <v>17345</v>
          </cell>
        </row>
        <row r="61">
          <cell r="A61">
            <v>2025</v>
          </cell>
          <cell r="B61">
            <v>131092</v>
          </cell>
          <cell r="C61">
            <v>18375</v>
          </cell>
        </row>
        <row r="90">
          <cell r="B90" t="str">
            <v>NVDIA Net Income</v>
          </cell>
          <cell r="C90" t="str">
            <v>Net Income</v>
          </cell>
        </row>
        <row r="91">
          <cell r="A91">
            <v>2014</v>
          </cell>
          <cell r="B91">
            <v>585</v>
          </cell>
          <cell r="C91">
            <v>11704</v>
          </cell>
        </row>
        <row r="92">
          <cell r="A92">
            <v>2015</v>
          </cell>
          <cell r="B92">
            <v>599</v>
          </cell>
          <cell r="C92">
            <v>11420</v>
          </cell>
        </row>
        <row r="93">
          <cell r="A93">
            <v>2016</v>
          </cell>
          <cell r="B93">
            <v>1219</v>
          </cell>
          <cell r="C93">
            <v>10316</v>
          </cell>
        </row>
        <row r="94">
          <cell r="A94">
            <v>2017</v>
          </cell>
          <cell r="B94">
            <v>2583</v>
          </cell>
          <cell r="C94">
            <v>9601</v>
          </cell>
        </row>
        <row r="95">
          <cell r="A95">
            <v>2018</v>
          </cell>
          <cell r="B95">
            <v>4694</v>
          </cell>
          <cell r="C95">
            <v>21053</v>
          </cell>
        </row>
        <row r="96">
          <cell r="A96">
            <v>2019</v>
          </cell>
          <cell r="B96">
            <v>2411</v>
          </cell>
          <cell r="C96">
            <v>21048</v>
          </cell>
        </row>
        <row r="97">
          <cell r="A97">
            <v>2020</v>
          </cell>
          <cell r="B97">
            <v>3826</v>
          </cell>
          <cell r="C97">
            <v>20899</v>
          </cell>
        </row>
        <row r="98">
          <cell r="A98">
            <v>2021</v>
          </cell>
          <cell r="B98">
            <v>8207</v>
          </cell>
          <cell r="C98">
            <v>19868</v>
          </cell>
        </row>
        <row r="99">
          <cell r="A99">
            <v>2022</v>
          </cell>
          <cell r="B99">
            <v>5956</v>
          </cell>
          <cell r="C99">
            <v>8014</v>
          </cell>
        </row>
        <row r="100">
          <cell r="A100">
            <v>2023</v>
          </cell>
          <cell r="B100">
            <v>18888</v>
          </cell>
          <cell r="C100">
            <v>1689</v>
          </cell>
        </row>
        <row r="101">
          <cell r="A101">
            <v>2024</v>
          </cell>
          <cell r="B101">
            <v>63075</v>
          </cell>
          <cell r="C101">
            <v>-18756</v>
          </cell>
        </row>
        <row r="102">
          <cell r="A102">
            <v>2025</v>
          </cell>
          <cell r="B102">
            <v>99198</v>
          </cell>
          <cell r="C102">
            <v>-267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Sujan" refreshedDate="46132.572821527778" createdVersion="8" refreshedVersion="8" minRefreshableVersion="3" recordCount="60" xr:uid="{F0269699-7E4B-48A1-A619-6C6D2809B417}">
  <cacheSource type="worksheet">
    <worksheetSource ref="C2:D62" sheet="Income_Profit Analysis"/>
  </cacheSource>
  <cacheFields count="5">
    <cacheField name="Quarter" numFmtId="14">
      <sharedItems containsSemiMixedTypes="0" containsNonDate="0" containsDate="1" containsString="0" minDate="2011-04-30T00:00:00" maxDate="2026-02-01T00:00:00" count="60">
        <d v="2026-01-31T00:00:00"/>
        <d v="2025-10-31T00:00:00"/>
        <d v="2025-07-31T00:00:00"/>
        <d v="2025-04-30T00:00:00"/>
        <d v="2025-01-31T00:00:00"/>
        <d v="2024-10-31T00:00:00"/>
        <d v="2024-07-31T00:00:00"/>
        <d v="2024-04-30T00:00:00"/>
        <d v="2024-01-31T00:00:00"/>
        <d v="2023-10-31T00:00:00"/>
        <d v="2023-07-31T00:00:00"/>
        <d v="2023-04-30T00:00:00"/>
        <d v="2023-01-31T00:00:00"/>
        <d v="2022-10-31T00:00:00"/>
        <d v="2022-07-31T00:00:00"/>
        <d v="2022-04-30T00:00:00"/>
        <d v="2022-01-31T00:00:00"/>
        <d v="2021-10-31T00:00:00"/>
        <d v="2021-07-31T00:00:00"/>
        <d v="2021-04-30T00:00:00"/>
        <d v="2021-01-31T00:00:00"/>
        <d v="2020-10-31T00:00:00"/>
        <d v="2020-07-31T00:00:00"/>
        <d v="2020-04-30T00:00:00"/>
        <d v="2020-01-31T00:00:00"/>
        <d v="2019-10-31T00:00:00"/>
        <d v="2019-07-31T00:00:00"/>
        <d v="2019-04-30T00:00:00"/>
        <d v="2019-01-31T00:00:00"/>
        <d v="2018-10-31T00:00:00"/>
        <d v="2018-07-31T00:00:00"/>
        <d v="2018-04-30T00:00:00"/>
        <d v="2018-01-31T00:00:00"/>
        <d v="2017-10-31T00:00:00"/>
        <d v="2017-07-31T00:00:00"/>
        <d v="2017-04-30T00:00:00"/>
        <d v="2017-01-31T00:00:00"/>
        <d v="2016-10-31T00:00:00"/>
        <d v="2016-07-31T00:00:00"/>
        <d v="2016-04-30T00:00:00"/>
        <d v="2016-01-31T00:00:00"/>
        <d v="2015-10-31T00:00:00"/>
        <d v="2015-07-31T00:00:00"/>
        <d v="2015-04-30T00:00:00"/>
        <d v="2015-01-31T00:00:00"/>
        <d v="2014-10-31T00:00:00"/>
        <d v="2014-07-31T00:00:00"/>
        <d v="2014-04-30T00:00:00"/>
        <d v="2014-01-31T00:00:00"/>
        <d v="2013-10-31T00:00:00"/>
        <d v="2013-07-31T00:00:00"/>
        <d v="2013-04-30T00:00:00"/>
        <d v="2013-01-31T00:00:00"/>
        <d v="2012-10-31T00:00:00"/>
        <d v="2012-07-31T00:00:00"/>
        <d v="2012-04-30T00:00:00"/>
        <d v="2012-01-31T00:00:00"/>
        <d v="2011-10-31T00:00:00"/>
        <d v="2011-07-31T00:00:00"/>
        <d v="2011-04-30T00:00:00"/>
      </sharedItems>
      <fieldGroup par="4"/>
    </cacheField>
    <cacheField name="Amount" numFmtId="1">
      <sharedItems containsSemiMixedTypes="0" containsString="0" containsNumber="1" containsInteger="1" minValue="26" maxValue="42960"/>
    </cacheField>
    <cacheField name="Months (Quarter)" numFmtId="0" databaseField="0">
      <fieldGroup base="0">
        <rangePr groupBy="months" startDate="2011-04-30T00:00:00" endDate="2026-02-01T00:00:00"/>
        <groupItems count="14">
          <s v="&lt;30/04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2/2026"/>
        </groupItems>
      </fieldGroup>
    </cacheField>
    <cacheField name="Quarters (Quarter)" numFmtId="0" databaseField="0">
      <fieldGroup base="0">
        <rangePr groupBy="quarters" startDate="2011-04-30T00:00:00" endDate="2026-02-01T00:00:00"/>
        <groupItems count="6">
          <s v="&lt;30/04/2011"/>
          <s v="Qtr1"/>
          <s v="Qtr2"/>
          <s v="Qtr3"/>
          <s v="Qtr4"/>
          <s v="&gt;01/02/2026"/>
        </groupItems>
      </fieldGroup>
    </cacheField>
    <cacheField name="Years (Quarter)" numFmtId="0" databaseField="0">
      <fieldGroup base="0">
        <rangePr groupBy="years" startDate="2011-04-30T00:00:00" endDate="2026-02-01T00:00:00"/>
        <groupItems count="18">
          <s v="&lt;30/04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1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Sujan" refreshedDate="46132.576101967592" createdVersion="8" refreshedVersion="8" minRefreshableVersion="3" recordCount="60" xr:uid="{B9254CDC-5B55-40C6-9C8D-BFBB93742E59}">
  <cacheSource type="worksheet">
    <worksheetSource ref="N2:O62" sheet="Income_Profit Analysis"/>
  </cacheSource>
  <cacheFields count="5">
    <cacheField name="Quarter" numFmtId="14">
      <sharedItems containsSemiMixedTypes="0" containsNonDate="0" containsDate="1" containsString="0" minDate="2011-04-30T00:00:00" maxDate="2026-02-01T00:00:00" count="60">
        <d v="2026-01-31T00:00:00"/>
        <d v="2025-10-31T00:00:00"/>
        <d v="2025-07-31T00:00:00"/>
        <d v="2025-04-30T00:00:00"/>
        <d v="2025-01-31T00:00:00"/>
        <d v="2024-10-31T00:00:00"/>
        <d v="2024-07-31T00:00:00"/>
        <d v="2024-04-30T00:00:00"/>
        <d v="2024-01-31T00:00:00"/>
        <d v="2023-10-31T00:00:00"/>
        <d v="2023-07-31T00:00:00"/>
        <d v="2023-04-30T00:00:00"/>
        <d v="2023-01-31T00:00:00"/>
        <d v="2022-10-31T00:00:00"/>
        <d v="2022-07-31T00:00:00"/>
        <d v="2022-04-30T00:00:00"/>
        <d v="2022-01-31T00:00:00"/>
        <d v="2021-10-31T00:00:00"/>
        <d v="2021-07-31T00:00:00"/>
        <d v="2021-04-30T00:00:00"/>
        <d v="2021-01-31T00:00:00"/>
        <d v="2020-10-31T00:00:00"/>
        <d v="2020-07-31T00:00:00"/>
        <d v="2020-04-30T00:00:00"/>
        <d v="2020-01-31T00:00:00"/>
        <d v="2019-10-31T00:00:00"/>
        <d v="2019-07-31T00:00:00"/>
        <d v="2019-04-30T00:00:00"/>
        <d v="2019-01-31T00:00:00"/>
        <d v="2018-10-31T00:00:00"/>
        <d v="2018-07-31T00:00:00"/>
        <d v="2018-04-30T00:00:00"/>
        <d v="2018-01-31T00:00:00"/>
        <d v="2017-10-31T00:00:00"/>
        <d v="2017-07-31T00:00:00"/>
        <d v="2017-04-30T00:00:00"/>
        <d v="2017-01-31T00:00:00"/>
        <d v="2016-10-31T00:00:00"/>
        <d v="2016-07-31T00:00:00"/>
        <d v="2016-04-30T00:00:00"/>
        <d v="2016-01-31T00:00:00"/>
        <d v="2015-10-31T00:00:00"/>
        <d v="2015-07-31T00:00:00"/>
        <d v="2015-04-30T00:00:00"/>
        <d v="2015-01-31T00:00:00"/>
        <d v="2014-10-31T00:00:00"/>
        <d v="2014-07-31T00:00:00"/>
        <d v="2014-04-30T00:00:00"/>
        <d v="2014-01-31T00:00:00"/>
        <d v="2013-10-31T00:00:00"/>
        <d v="2013-07-31T00:00:00"/>
        <d v="2013-04-30T00:00:00"/>
        <d v="2013-01-31T00:00:00"/>
        <d v="2012-10-31T00:00:00"/>
        <d v="2012-07-31T00:00:00"/>
        <d v="2012-04-30T00:00:00"/>
        <d v="2012-01-31T00:00:00"/>
        <d v="2011-10-31T00:00:00"/>
        <d v="2011-07-31T00:00:00"/>
        <d v="2011-04-30T00:00:00"/>
      </sharedItems>
      <fieldGroup par="4"/>
    </cacheField>
    <cacheField name="Gross Profit" numFmtId="1">
      <sharedItems containsSemiMixedTypes="0" containsString="0" containsNumber="1" containsInteger="1" minValue="463" maxValue="51093"/>
    </cacheField>
    <cacheField name="Months (Quarter)" numFmtId="0" databaseField="0">
      <fieldGroup base="0">
        <rangePr groupBy="months" startDate="2011-04-30T00:00:00" endDate="2026-02-01T00:00:00"/>
        <groupItems count="14">
          <s v="&lt;30/04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2/2026"/>
        </groupItems>
      </fieldGroup>
    </cacheField>
    <cacheField name="Quarters (Quarter)" numFmtId="0" databaseField="0">
      <fieldGroup base="0">
        <rangePr groupBy="quarters" startDate="2011-04-30T00:00:00" endDate="2026-02-01T00:00:00"/>
        <groupItems count="6">
          <s v="&lt;30/04/2011"/>
          <s v="Qtr1"/>
          <s v="Qtr2"/>
          <s v="Qtr3"/>
          <s v="Qtr4"/>
          <s v="&gt;01/02/2026"/>
        </groupItems>
      </fieldGroup>
    </cacheField>
    <cacheField name="Years (Quarter)" numFmtId="0" databaseField="0">
      <fieldGroup base="0">
        <rangePr groupBy="years" startDate="2011-04-30T00:00:00" endDate="2026-02-01T00:00:00"/>
        <groupItems count="18">
          <s v="&lt;30/04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1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Sujan" refreshedDate="46132.578354050929" createdVersion="8" refreshedVersion="8" minRefreshableVersion="3" recordCount="59" xr:uid="{B1FAEF30-4639-40A4-9579-DC225C5CF15D}">
  <cacheSource type="worksheet">
    <worksheetSource ref="S2:T61" sheet="Income_Profit Analysis"/>
  </cacheSource>
  <cacheFields count="5">
    <cacheField name="Quarter" numFmtId="14">
      <sharedItems containsSemiMixedTypes="0" containsNonDate="0" containsDate="1" containsString="0" minDate="2011-06-30T00:00:00" maxDate="2026-01-01T00:00:00" count="59">
        <d v="2025-12-31T00:00:00"/>
        <d v="2025-09-30T00:00:00"/>
        <d v="2025-06-30T00:00:00"/>
        <d v="2025-03-31T00:00:00"/>
        <d v="2024-12-31T00:00:00"/>
        <d v="2024-09-30T00:00:00"/>
        <d v="2024-06-30T00:00:00"/>
        <d v="2024-03-31T00:00:00"/>
        <d v="2023-12-31T00:00:00"/>
        <d v="2023-09-30T00:00:00"/>
        <d v="2023-06-30T00:00:00"/>
        <d v="2023-03-31T00:00:00"/>
        <d v="2022-12-31T00:00:00"/>
        <d v="2022-09-30T00:00:00"/>
        <d v="2022-06-30T00:00:00"/>
        <d v="2022-03-31T00:00:00"/>
        <d v="2021-12-31T00:00:00"/>
        <d v="2021-09-30T00:00:00"/>
        <d v="2021-06-30T00:00:00"/>
        <d v="2021-03-31T00:00:00"/>
        <d v="2020-12-31T00:00:00"/>
        <d v="2020-09-30T00:00:00"/>
        <d v="2020-06-30T00:00:00"/>
        <d v="2020-03-31T00:00:00"/>
        <d v="2019-12-31T00:00:00"/>
        <d v="2019-09-30T00:00:00"/>
        <d v="2019-06-30T00:00:00"/>
        <d v="2019-03-31T00:00:00"/>
        <d v="2018-12-31T00:00:00"/>
        <d v="2018-09-30T00:00:00"/>
        <d v="2018-06-30T00:00:00"/>
        <d v="2018-03-31T00:00:00"/>
        <d v="2017-12-31T00:00:00"/>
        <d v="2017-09-30T00:00:00"/>
        <d v="2017-06-30T00:00:00"/>
        <d v="2017-03-31T00:00:00"/>
        <d v="2016-12-31T00:00:00"/>
        <d v="2016-09-30T00:00:00"/>
        <d v="2016-06-30T00:00:00"/>
        <d v="2016-03-31T00:00:00"/>
        <d v="2015-12-31T00:00:00"/>
        <d v="2015-09-30T00:00:00"/>
        <d v="2015-06-30T00:00:00"/>
        <d v="2015-03-31T00:00:00"/>
        <d v="2014-12-31T00:00:00"/>
        <d v="2014-09-30T00:00:00"/>
        <d v="2014-06-30T00:00:00"/>
        <d v="2014-03-31T00:00:00"/>
        <d v="2013-12-31T00:00:00"/>
        <d v="2013-09-30T00:00:00"/>
        <d v="2013-06-30T00:00:00"/>
        <d v="2013-03-31T00:00:00"/>
        <d v="2012-12-31T00:00:00"/>
        <d v="2012-09-30T00:00:00"/>
        <d v="2012-06-30T00:00:00"/>
        <d v="2012-03-31T00:00:00"/>
        <d v="2011-12-31T00:00:00"/>
        <d v="2011-09-30T00:00:00"/>
        <d v="2011-06-30T00:00:00"/>
      </sharedItems>
      <fieldGroup par="4"/>
    </cacheField>
    <cacheField name="Quarterly Revenue" numFmtId="1">
      <sharedItems containsSemiMixedTypes="0" containsString="0" containsNumber="1" containsInteger="1" minValue="-16639" maxValue="8113"/>
    </cacheField>
    <cacheField name="Months (Quarter)" numFmtId="0" databaseField="0">
      <fieldGroup base="0">
        <rangePr groupBy="months" startDate="2011-06-30T00:00:00" endDate="2026-01-01T00:00:00"/>
        <groupItems count="14">
          <s v="&lt;30/06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6"/>
        </groupItems>
      </fieldGroup>
    </cacheField>
    <cacheField name="Quarters (Quarter)" numFmtId="0" databaseField="0">
      <fieldGroup base="0">
        <rangePr groupBy="quarters" startDate="2011-06-30T00:00:00" endDate="2026-01-01T00:00:00"/>
        <groupItems count="6">
          <s v="&lt;30/06/2011"/>
          <s v="Qtr1"/>
          <s v="Qtr2"/>
          <s v="Qtr3"/>
          <s v="Qtr4"/>
          <s v="&gt;01/01/2026"/>
        </groupItems>
      </fieldGroup>
    </cacheField>
    <cacheField name="Years (Quarter)" numFmtId="0" databaseField="0">
      <fieldGroup base="0">
        <rangePr groupBy="years" startDate="2011-06-30T00:00:00" endDate="2026-01-01T00:00:00"/>
        <groupItems count="18">
          <s v="&lt;30/06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Sujan" refreshedDate="46132.586336342596" createdVersion="8" refreshedVersion="8" minRefreshableVersion="3" recordCount="59" xr:uid="{B5D594F2-974E-4B08-BDAD-B4CFDF119527}">
  <cacheSource type="worksheet">
    <worksheetSource ref="AF2:AG61" sheet="Income_Profit Analysis"/>
  </cacheSource>
  <cacheFields count="5">
    <cacheField name="Quarter" numFmtId="14">
      <sharedItems containsSemiMixedTypes="0" containsNonDate="0" containsDate="1" containsString="0" minDate="2011-06-30T00:00:00" maxDate="2026-01-01T00:00:00" count="59">
        <d v="2025-12-31T00:00:00"/>
        <d v="2025-09-30T00:00:00"/>
        <d v="2025-06-30T00:00:00"/>
        <d v="2025-03-31T00:00:00"/>
        <d v="2024-12-31T00:00:00"/>
        <d v="2024-09-30T00:00:00"/>
        <d v="2024-06-30T00:00:00"/>
        <d v="2024-03-31T00:00:00"/>
        <d v="2023-12-31T00:00:00"/>
        <d v="2023-09-30T00:00:00"/>
        <d v="2023-06-30T00:00:00"/>
        <d v="2023-03-31T00:00:00"/>
        <d v="2022-12-31T00:00:00"/>
        <d v="2022-09-30T00:00:00"/>
        <d v="2022-06-30T00:00:00"/>
        <d v="2022-03-31T00:00:00"/>
        <d v="2021-12-31T00:00:00"/>
        <d v="2021-09-30T00:00:00"/>
        <d v="2021-06-30T00:00:00"/>
        <d v="2021-03-31T00:00:00"/>
        <d v="2020-12-31T00:00:00"/>
        <d v="2020-09-30T00:00:00"/>
        <d v="2020-06-30T00:00:00"/>
        <d v="2020-03-31T00:00:00"/>
        <d v="2019-12-31T00:00:00"/>
        <d v="2019-09-30T00:00:00"/>
        <d v="2019-06-30T00:00:00"/>
        <d v="2019-03-31T00:00:00"/>
        <d v="2018-12-31T00:00:00"/>
        <d v="2018-09-30T00:00:00"/>
        <d v="2018-06-30T00:00:00"/>
        <d v="2018-03-31T00:00:00"/>
        <d v="2017-12-31T00:00:00"/>
        <d v="2017-09-30T00:00:00"/>
        <d v="2017-06-30T00:00:00"/>
        <d v="2017-03-31T00:00:00"/>
        <d v="2016-12-31T00:00:00"/>
        <d v="2016-09-30T00:00:00"/>
        <d v="2016-06-30T00:00:00"/>
        <d v="2016-03-31T00:00:00"/>
        <d v="2015-12-31T00:00:00"/>
        <d v="2015-09-30T00:00:00"/>
        <d v="2015-06-30T00:00:00"/>
        <d v="2015-03-31T00:00:00"/>
        <d v="2014-12-31T00:00:00"/>
        <d v="2014-09-30T00:00:00"/>
        <d v="2014-06-30T00:00:00"/>
        <d v="2014-03-31T00:00:00"/>
        <d v="2013-12-31T00:00:00"/>
        <d v="2013-09-30T00:00:00"/>
        <d v="2013-06-30T00:00:00"/>
        <d v="2013-03-31T00:00:00"/>
        <d v="2012-12-31T00:00:00"/>
        <d v="2012-09-30T00:00:00"/>
        <d v="2012-06-30T00:00:00"/>
        <d v="2012-03-31T00:00:00"/>
        <d v="2011-12-31T00:00:00"/>
        <d v="2011-09-30T00:00:00"/>
        <d v="2011-06-30T00:00:00"/>
      </sharedItems>
      <fieldGroup par="4"/>
    </cacheField>
    <cacheField name="Gross Profit" numFmtId="164">
      <sharedItems containsSemiMixedTypes="0" containsString="0" containsNumber="1" containsInteger="1" minValue="1997" maxValue="12360"/>
    </cacheField>
    <cacheField name="Months (Quarter)" numFmtId="0" databaseField="0">
      <fieldGroup base="0">
        <rangePr groupBy="months" startDate="2011-06-30T00:00:00" endDate="2026-01-01T00:00:00"/>
        <groupItems count="14">
          <s v="&lt;30/06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6"/>
        </groupItems>
      </fieldGroup>
    </cacheField>
    <cacheField name="Quarters (Quarter)" numFmtId="0" databaseField="0">
      <fieldGroup base="0">
        <rangePr groupBy="quarters" startDate="2011-06-30T00:00:00" endDate="2026-01-01T00:00:00"/>
        <groupItems count="6">
          <s v="&lt;30/06/2011"/>
          <s v="Qtr1"/>
          <s v="Qtr2"/>
          <s v="Qtr3"/>
          <s v="Qtr4"/>
          <s v="&gt;01/01/2026"/>
        </groupItems>
      </fieldGroup>
    </cacheField>
    <cacheField name="Years (Quarter)" numFmtId="0" databaseField="0">
      <fieldGroup base="0">
        <rangePr groupBy="years" startDate="2011-06-30T00:00:00" endDate="2026-01-01T00:00:00"/>
        <groupItems count="18">
          <s v="&lt;30/06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42960"/>
  </r>
  <r>
    <x v="1"/>
    <n v="31910"/>
  </r>
  <r>
    <x v="2"/>
    <n v="26422"/>
  </r>
  <r>
    <x v="3"/>
    <n v="18775"/>
  </r>
  <r>
    <x v="4"/>
    <n v="22091"/>
  </r>
  <r>
    <x v="5"/>
    <n v="19309"/>
  </r>
  <r>
    <x v="6"/>
    <n v="16599"/>
  </r>
  <r>
    <x v="7"/>
    <n v="14881"/>
  </r>
  <r>
    <x v="8"/>
    <n v="12286"/>
  </r>
  <r>
    <x v="9"/>
    <n v="9243"/>
  </r>
  <r>
    <x v="10"/>
    <n v="6188"/>
  </r>
  <r>
    <x v="11"/>
    <n v="2043"/>
  </r>
  <r>
    <x v="12"/>
    <n v="1414"/>
  </r>
  <r>
    <x v="13"/>
    <n v="680"/>
  </r>
  <r>
    <x v="14"/>
    <n v="656"/>
  </r>
  <r>
    <x v="15"/>
    <n v="1618"/>
  </r>
  <r>
    <x v="16"/>
    <n v="3002"/>
  </r>
  <r>
    <x v="17"/>
    <n v="2464"/>
  </r>
  <r>
    <x v="18"/>
    <n v="2374"/>
  </r>
  <r>
    <x v="19"/>
    <n v="1912"/>
  </r>
  <r>
    <x v="20"/>
    <n v="1457"/>
  </r>
  <r>
    <x v="21"/>
    <n v="1336"/>
  </r>
  <r>
    <x v="22"/>
    <n v="622"/>
  </r>
  <r>
    <x v="23"/>
    <n v="917"/>
  </r>
  <r>
    <x v="24"/>
    <n v="951"/>
  </r>
  <r>
    <x v="25"/>
    <n v="899"/>
  </r>
  <r>
    <x v="26"/>
    <n v="552"/>
  </r>
  <r>
    <x v="27"/>
    <n v="394"/>
  </r>
  <r>
    <x v="28"/>
    <n v="566"/>
  </r>
  <r>
    <x v="29"/>
    <n v="1230"/>
  </r>
  <r>
    <x v="30"/>
    <n v="1101"/>
  </r>
  <r>
    <x v="31"/>
    <n v="1244"/>
  </r>
  <r>
    <x v="32"/>
    <n v="1119"/>
  </r>
  <r>
    <x v="33"/>
    <n v="838"/>
  </r>
  <r>
    <x v="34"/>
    <n v="583"/>
  </r>
  <r>
    <x v="35"/>
    <n v="507"/>
  </r>
  <r>
    <x v="36"/>
    <n v="655"/>
  </r>
  <r>
    <x v="37"/>
    <n v="542"/>
  </r>
  <r>
    <x v="38"/>
    <n v="261"/>
  </r>
  <r>
    <x v="39"/>
    <n v="208"/>
  </r>
  <r>
    <x v="40"/>
    <n v="208"/>
  </r>
  <r>
    <x v="41"/>
    <n v="246"/>
  </r>
  <r>
    <x v="42"/>
    <n v="26"/>
  </r>
  <r>
    <x v="43"/>
    <n v="134"/>
  </r>
  <r>
    <x v="44"/>
    <n v="193"/>
  </r>
  <r>
    <x v="45"/>
    <n v="173"/>
  </r>
  <r>
    <x v="46"/>
    <n v="128"/>
  </r>
  <r>
    <x v="47"/>
    <n v="137"/>
  </r>
  <r>
    <x v="48"/>
    <n v="147"/>
  </r>
  <r>
    <x v="49"/>
    <n v="119"/>
  </r>
  <r>
    <x v="50"/>
    <n v="96"/>
  </r>
  <r>
    <x v="51"/>
    <n v="78"/>
  </r>
  <r>
    <x v="52"/>
    <n v="174"/>
  </r>
  <r>
    <x v="53"/>
    <n v="209"/>
  </r>
  <r>
    <x v="54"/>
    <n v="119"/>
  </r>
  <r>
    <x v="55"/>
    <n v="60"/>
  </r>
  <r>
    <x v="56"/>
    <n v="116"/>
  </r>
  <r>
    <x v="57"/>
    <n v="178"/>
  </r>
  <r>
    <x v="58"/>
    <n v="152"/>
  </r>
  <r>
    <x v="59"/>
    <n v="1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51093"/>
  </r>
  <r>
    <x v="1"/>
    <n v="41849"/>
  </r>
  <r>
    <x v="2"/>
    <n v="33853"/>
  </r>
  <r>
    <x v="3"/>
    <n v="26668"/>
  </r>
  <r>
    <x v="4"/>
    <n v="28722"/>
  </r>
  <r>
    <x v="5"/>
    <n v="26156"/>
  </r>
  <r>
    <x v="6"/>
    <n v="22574"/>
  </r>
  <r>
    <x v="7"/>
    <n v="20406"/>
  </r>
  <r>
    <x v="8"/>
    <n v="16791"/>
  </r>
  <r>
    <x v="9"/>
    <n v="13400"/>
  </r>
  <r>
    <x v="10"/>
    <n v="9462"/>
  </r>
  <r>
    <x v="11"/>
    <n v="4648"/>
  </r>
  <r>
    <x v="12"/>
    <n v="3833"/>
  </r>
  <r>
    <x v="13"/>
    <n v="3177"/>
  </r>
  <r>
    <x v="14"/>
    <n v="2915"/>
  </r>
  <r>
    <x v="15"/>
    <n v="5431"/>
  </r>
  <r>
    <x v="16"/>
    <n v="5000"/>
  </r>
  <r>
    <x v="17"/>
    <n v="4631"/>
  </r>
  <r>
    <x v="18"/>
    <n v="4215"/>
  </r>
  <r>
    <x v="19"/>
    <n v="3629"/>
  </r>
  <r>
    <x v="20"/>
    <n v="3157"/>
  </r>
  <r>
    <x v="21"/>
    <n v="2960"/>
  </r>
  <r>
    <x v="22"/>
    <n v="2275"/>
  </r>
  <r>
    <x v="23"/>
    <n v="2004"/>
  </r>
  <r>
    <x v="24"/>
    <n v="2015"/>
  </r>
  <r>
    <x v="25"/>
    <n v="1916"/>
  </r>
  <r>
    <x v="26"/>
    <n v="1541"/>
  </r>
  <r>
    <x v="27"/>
    <n v="1296"/>
  </r>
  <r>
    <x v="28"/>
    <n v="1207"/>
  </r>
  <r>
    <x v="29"/>
    <n v="1921"/>
  </r>
  <r>
    <x v="30"/>
    <n v="1975"/>
  </r>
  <r>
    <x v="31"/>
    <n v="2068"/>
  </r>
  <r>
    <x v="32"/>
    <n v="1801"/>
  </r>
  <r>
    <x v="33"/>
    <n v="1569"/>
  </r>
  <r>
    <x v="34"/>
    <n v="1302"/>
  </r>
  <r>
    <x v="35"/>
    <n v="1150"/>
  </r>
  <r>
    <x v="36"/>
    <n v="1303"/>
  </r>
  <r>
    <x v="37"/>
    <n v="1183"/>
  </r>
  <r>
    <x v="38"/>
    <n v="826"/>
  </r>
  <r>
    <x v="39"/>
    <n v="751"/>
  </r>
  <r>
    <x v="40"/>
    <n v="790"/>
  </r>
  <r>
    <x v="41"/>
    <n v="734"/>
  </r>
  <r>
    <x v="42"/>
    <n v="634"/>
  </r>
  <r>
    <x v="43"/>
    <n v="653"/>
  </r>
  <r>
    <x v="44"/>
    <n v="700"/>
  </r>
  <r>
    <x v="45"/>
    <n v="676"/>
  </r>
  <r>
    <x v="46"/>
    <n v="619"/>
  </r>
  <r>
    <x v="47"/>
    <n v="604"/>
  </r>
  <r>
    <x v="48"/>
    <n v="619"/>
  </r>
  <r>
    <x v="49"/>
    <n v="584"/>
  </r>
  <r>
    <x v="50"/>
    <n v="546"/>
  </r>
  <r>
    <x v="51"/>
    <n v="519"/>
  </r>
  <r>
    <x v="52"/>
    <n v="586"/>
  </r>
  <r>
    <x v="53"/>
    <n v="637"/>
  </r>
  <r>
    <x v="54"/>
    <n v="541"/>
  </r>
  <r>
    <x v="55"/>
    <n v="463"/>
  </r>
  <r>
    <x v="56"/>
    <n v="490"/>
  </r>
  <r>
    <x v="57"/>
    <n v="557"/>
  </r>
  <r>
    <x v="58"/>
    <n v="525"/>
  </r>
  <r>
    <x v="59"/>
    <n v="48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n v="-591"/>
  </r>
  <r>
    <x v="1"/>
    <n v="4063"/>
  </r>
  <r>
    <x v="2"/>
    <n v="-2918"/>
  </r>
  <r>
    <x v="3"/>
    <n v="-821"/>
  </r>
  <r>
    <x v="4"/>
    <n v="-126"/>
  </r>
  <r>
    <x v="5"/>
    <n v="-16639"/>
  </r>
  <r>
    <x v="6"/>
    <n v="-1610"/>
  </r>
  <r>
    <x v="7"/>
    <n v="-381"/>
  </r>
  <r>
    <x v="8"/>
    <n v="2669"/>
  </r>
  <r>
    <x v="9"/>
    <n v="297"/>
  </r>
  <r>
    <x v="10"/>
    <n v="1481"/>
  </r>
  <r>
    <x v="11"/>
    <n v="-2758"/>
  </r>
  <r>
    <x v="12"/>
    <n v="-664"/>
  </r>
  <r>
    <x v="13"/>
    <n v="1019"/>
  </r>
  <r>
    <x v="14"/>
    <n v="-454"/>
  </r>
  <r>
    <x v="15"/>
    <n v="8113"/>
  </r>
  <r>
    <x v="16"/>
    <n v="4623"/>
  </r>
  <r>
    <x v="17"/>
    <n v="6823"/>
  </r>
  <r>
    <x v="18"/>
    <n v="5061"/>
  </r>
  <r>
    <x v="19"/>
    <n v="3361"/>
  </r>
  <r>
    <x v="20"/>
    <n v="5857"/>
  </r>
  <r>
    <x v="21"/>
    <n v="4276"/>
  </r>
  <r>
    <x v="22"/>
    <n v="5105"/>
  </r>
  <r>
    <x v="23"/>
    <n v="5661"/>
  </r>
  <r>
    <x v="24"/>
    <n v="6905"/>
  </r>
  <r>
    <x v="25"/>
    <n v="5990"/>
  </r>
  <r>
    <x v="26"/>
    <n v="4179"/>
  </r>
  <r>
    <x v="27"/>
    <n v="3974"/>
  </r>
  <r>
    <x v="28"/>
    <n v="5195"/>
  </r>
  <r>
    <x v="29"/>
    <n v="6398"/>
  </r>
  <r>
    <x v="30"/>
    <n v="5006"/>
  </r>
  <r>
    <x v="31"/>
    <n v="4454"/>
  </r>
  <r>
    <x v="32"/>
    <n v="-687"/>
  </r>
  <r>
    <x v="33"/>
    <n v="4516"/>
  </r>
  <r>
    <x v="34"/>
    <n v="2808"/>
  </r>
  <r>
    <x v="35"/>
    <n v="2964"/>
  </r>
  <r>
    <x v="36"/>
    <n v="3562"/>
  </r>
  <r>
    <x v="37"/>
    <n v="3378"/>
  </r>
  <r>
    <x v="38"/>
    <n v="1330"/>
  </r>
  <r>
    <x v="39"/>
    <n v="2046"/>
  </r>
  <r>
    <x v="40"/>
    <n v="3613"/>
  </r>
  <r>
    <x v="41"/>
    <n v="3109"/>
  </r>
  <r>
    <x v="42"/>
    <n v="2706"/>
  </r>
  <r>
    <x v="43"/>
    <n v="1992"/>
  </r>
  <r>
    <x v="44"/>
    <n v="3661"/>
  </r>
  <r>
    <x v="45"/>
    <n v="3317"/>
  </r>
  <r>
    <x v="46"/>
    <n v="2796"/>
  </r>
  <r>
    <x v="47"/>
    <n v="1930"/>
  </r>
  <r>
    <x v="48"/>
    <n v="2625"/>
  </r>
  <r>
    <x v="49"/>
    <n v="2950"/>
  </r>
  <r>
    <x v="50"/>
    <n v="2000"/>
  </r>
  <r>
    <x v="51"/>
    <n v="2045"/>
  </r>
  <r>
    <x v="52"/>
    <n v="2468"/>
  </r>
  <r>
    <x v="53"/>
    <n v="2972"/>
  </r>
  <r>
    <x v="54"/>
    <n v="2827"/>
  </r>
  <r>
    <x v="55"/>
    <n v="2738"/>
  </r>
  <r>
    <x v="56"/>
    <n v="3360"/>
  </r>
  <r>
    <x v="57"/>
    <n v="3468"/>
  </r>
  <r>
    <x v="58"/>
    <n v="295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n v="4943"/>
  </r>
  <r>
    <x v="1"/>
    <n v="5218"/>
  </r>
  <r>
    <x v="2"/>
    <n v="3542"/>
  </r>
  <r>
    <x v="3"/>
    <n v="4672"/>
  </r>
  <r>
    <x v="4"/>
    <n v="5584"/>
  </r>
  <r>
    <x v="5"/>
    <n v="1997"/>
  </r>
  <r>
    <x v="6"/>
    <n v="4547"/>
  </r>
  <r>
    <x v="7"/>
    <n v="5217"/>
  </r>
  <r>
    <x v="8"/>
    <n v="7047"/>
  </r>
  <r>
    <x v="9"/>
    <n v="6018"/>
  </r>
  <r>
    <x v="10"/>
    <n v="4638"/>
  </r>
  <r>
    <x v="11"/>
    <n v="4008"/>
  </r>
  <r>
    <x v="12"/>
    <n v="5500"/>
  </r>
  <r>
    <x v="13"/>
    <n v="6535"/>
  </r>
  <r>
    <x v="14"/>
    <n v="5587"/>
  </r>
  <r>
    <x v="15"/>
    <n v="9244"/>
  </r>
  <r>
    <x v="16"/>
    <n v="11009"/>
  </r>
  <r>
    <x v="17"/>
    <n v="10746"/>
  </r>
  <r>
    <x v="18"/>
    <n v="11206"/>
  </r>
  <r>
    <x v="19"/>
    <n v="10854"/>
  </r>
  <r>
    <x v="20"/>
    <n v="11348"/>
  </r>
  <r>
    <x v="21"/>
    <n v="9741"/>
  </r>
  <r>
    <x v="22"/>
    <n v="10507"/>
  </r>
  <r>
    <x v="23"/>
    <n v="12016"/>
  </r>
  <r>
    <x v="24"/>
    <n v="11878"/>
  </r>
  <r>
    <x v="25"/>
    <n v="11295"/>
  </r>
  <r>
    <x v="26"/>
    <n v="9878"/>
  </r>
  <r>
    <x v="27"/>
    <n v="9089"/>
  </r>
  <r>
    <x v="28"/>
    <n v="11227"/>
  </r>
  <r>
    <x v="29"/>
    <n v="12360"/>
  </r>
  <r>
    <x v="30"/>
    <n v="10419"/>
  </r>
  <r>
    <x v="31"/>
    <n v="9731"/>
  </r>
  <r>
    <x v="32"/>
    <n v="10778"/>
  </r>
  <r>
    <x v="33"/>
    <n v="10064"/>
  </r>
  <r>
    <x v="34"/>
    <n v="9096"/>
  </r>
  <r>
    <x v="35"/>
    <n v="9160"/>
  </r>
  <r>
    <x v="36"/>
    <n v="10147"/>
  </r>
  <r>
    <x v="37"/>
    <n v="9983"/>
  </r>
  <r>
    <x v="38"/>
    <n v="7973"/>
  </r>
  <r>
    <x v="39"/>
    <n v="8130"/>
  </r>
  <r>
    <x v="40"/>
    <n v="9590"/>
  </r>
  <r>
    <x v="41"/>
    <n v="9111"/>
  </r>
  <r>
    <x v="42"/>
    <n v="8248"/>
  </r>
  <r>
    <x v="43"/>
    <n v="7730"/>
  </r>
  <r>
    <x v="44"/>
    <n v="9621"/>
  </r>
  <r>
    <x v="45"/>
    <n v="9458"/>
  </r>
  <r>
    <x v="46"/>
    <n v="8917"/>
  </r>
  <r>
    <x v="47"/>
    <n v="7613"/>
  </r>
  <r>
    <x v="48"/>
    <n v="8571"/>
  </r>
  <r>
    <x v="49"/>
    <n v="8414"/>
  </r>
  <r>
    <x v="50"/>
    <n v="7470"/>
  </r>
  <r>
    <x v="51"/>
    <n v="7066"/>
  </r>
  <r>
    <x v="52"/>
    <n v="7817"/>
  </r>
  <r>
    <x v="53"/>
    <n v="8515"/>
  </r>
  <r>
    <x v="54"/>
    <n v="8554"/>
  </r>
  <r>
    <x v="55"/>
    <n v="8265"/>
  </r>
  <r>
    <x v="56"/>
    <n v="8952"/>
  </r>
  <r>
    <x v="57"/>
    <n v="9018"/>
  </r>
  <r>
    <x v="58"/>
    <n v="79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2971C-94BE-4606-8848-C69961DC4E70}" name="PivotTable5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V21:W33" firstHeaderRow="1" firstDataRow="1" firstDataCol="1"/>
  <pivotFields count="5">
    <pivotField axis="axisRow" numFmtId="14" showAll="0">
      <items count="60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Gross Profit " fld="1" baseField="4" baseItem="1" numFmtId="1"/>
  </dataFields>
  <formats count="2">
    <format dxfId="22">
      <pivotArea collapsedLevelsAreSubtotals="1" fieldPosition="0">
        <references count="1">
          <reference field="4" count="1">
            <x v="12"/>
          </reference>
        </references>
      </pivotArea>
    </format>
    <format dxfId="2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6F1DF-23AC-4E27-AAFB-B849EC00913F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V5:W17" firstHeaderRow="1" firstDataRow="1" firstDataCol="1"/>
  <pivotFields count="5">
    <pivotField axis="axisRow" numFmtId="14" showAll="0">
      <items count="60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Net Income" fld="1" baseField="4" baseItem="4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71A53-7E27-4C27-86C9-6D40914FB72C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F19:G31" firstHeaderRow="1" firstDataRow="1" firstDataCol="1"/>
  <pivotFields count="5">
    <pivotField axis="axisRow" numFmtId="14" showAll="0">
      <items count="61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h="1" sd="0" x="16"/>
        <item h="1"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NVDIA Gross Profit" fld="1" baseField="4" baseItem="4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0DEA1-96FA-4A6F-BAEF-89557838EB36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F3:G15" firstHeaderRow="1" firstDataRow="1" firstDataCol="1"/>
  <pivotFields count="5">
    <pivotField axis="axisRow" numFmtId="14" showAll="0">
      <items count="61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h="1" sd="0" x="0"/>
        <item h="1" sd="0" x="1"/>
        <item sd="0" x="2"/>
        <item h="1" sd="0" x="3"/>
        <item h="1" sd="0" x="4"/>
        <item h="1" sd="0" x="5"/>
        <item t="default"/>
      </items>
    </pivotField>
    <pivotField axis="axisRow" showAll="0">
      <items count="19">
        <item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NVDIA Net Income" fld="1" baseField="4" baseItem="4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B6B2D-7B2B-43C2-B4D3-01EAC30423DA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J2:L14" firstHeaderRow="0" firstDataRow="1" firstDataCol="1"/>
  <pivotFields count="5">
    <pivotField axis="axisRow" numFmtId="14" showAll="0">
      <items count="61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h="1" sd="0" x="16"/>
        <item h="1"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-2"/>
  </colFields>
  <colItems count="2">
    <i>
      <x/>
    </i>
    <i i="1">
      <x v="1"/>
    </i>
  </colItems>
  <dataFields count="2">
    <dataField name="NVDIA Net Income" fld="1" baseField="4" baseItem="4" numFmtId="1"/>
    <dataField name="YOY Net Income Growth" fld="1" showDataAs="percentDiff" baseField="4" baseItem="1048828" numFmtId="1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4" type="button" dataOnly="0" labelOnly="1" outline="0" axis="axisRow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2991A-D5F2-4A85-ADF1-F71F623925B5}" name="PivotTable6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N2:P14" firstHeaderRow="0" firstDataRow="1" firstDataCol="1"/>
  <pivotFields count="5">
    <pivotField axis="axisRow" numFmtId="14" showAll="0">
      <items count="60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-2"/>
  </colFields>
  <colItems count="2">
    <i>
      <x/>
    </i>
    <i i="1">
      <x v="1"/>
    </i>
  </colItems>
  <dataFields count="2">
    <dataField name="INTEL Net Income" fld="1" baseField="4" baseItem="4" numFmtId="1"/>
    <dataField name="YoY Net Income Growth" fld="1" showDataAs="percentDiff" baseField="4" baseItem="1048828" numFmtId="10"/>
  </dataFields>
  <formats count="6"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4" type="button" dataOnly="0" labelOnly="1" outline="0" axis="axisRow" fieldPosition="0"/>
    </format>
    <format dxfId="6">
      <pivotArea dataOnly="0" labelOnly="1" fieldPosition="0">
        <references count="1">
          <reference field="4" count="12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FB607-9080-4951-9F49-F0EC2CF2B25E}" name="PivotTable9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N17:P29" firstHeaderRow="0" firstDataRow="1" firstDataCol="1"/>
  <pivotFields count="5">
    <pivotField axis="axisRow" numFmtId="14" showAll="0">
      <items count="60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-2"/>
  </colFields>
  <colItems count="2">
    <i>
      <x/>
    </i>
    <i i="1">
      <x v="1"/>
    </i>
  </colItems>
  <dataFields count="2">
    <dataField name="INTEL - Gross Profit " fld="1" baseField="4" baseItem="4" numFmtId="164"/>
    <dataField name="YOY Growth Rate - Gross Profit" fld="1" showDataAs="percentDiff" baseField="4" baseItem="1048828" numFmtId="10"/>
  </dataFields>
  <formats count="5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4" type="button" dataOnly="0" labelOnly="1" outline="0" axis="axisRow" fieldPosition="0"/>
    </format>
    <format dxfId="12">
      <pivotArea dataOnly="0" labelOnly="1" fieldPosition="0">
        <references count="1">
          <reference field="4" count="12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144A5-6FF9-4A59-90ED-4862BE658542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J17:L29" firstHeaderRow="0" firstDataRow="1" firstDataCol="1"/>
  <pivotFields count="5">
    <pivotField axis="axisRow" numFmtId="14" showAll="0">
      <items count="61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h="1" sd="0" x="16"/>
        <item h="1"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-2"/>
  </colFields>
  <colItems count="2">
    <i>
      <x/>
    </i>
    <i i="1">
      <x v="1"/>
    </i>
  </colItems>
  <dataFields count="2">
    <dataField name="NVDIA Gross Profit" fld="1" baseField="4" baseItem="4" numFmtId="1"/>
    <dataField name="Yoy Growth Rate -  Gross Profit" fld="1" showDataAs="percentDiff" baseField="4" baseItem="1048828" numFmtId="10"/>
  </dataFields>
  <formats count="5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4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7307-06D7-4462-9D4F-DA6EA638C63A}">
  <dimension ref="A1:AG62"/>
  <sheetViews>
    <sheetView topLeftCell="R1" zoomScale="98" zoomScaleNormal="98" workbookViewId="0">
      <selection activeCell="V41" sqref="V41"/>
    </sheetView>
  </sheetViews>
  <sheetFormatPr defaultRowHeight="14.4" x14ac:dyDescent="0.3"/>
  <cols>
    <col min="4" max="4" width="10.5546875" customWidth="1"/>
    <col min="6" max="6" width="14" bestFit="1" customWidth="1"/>
    <col min="7" max="7" width="16.77734375" bestFit="1" customWidth="1"/>
    <col min="14" max="14" width="11.88671875" customWidth="1"/>
    <col min="15" max="15" width="10.77734375" customWidth="1"/>
    <col min="17" max="17" width="8.77734375" style="9"/>
    <col min="18" max="18" width="8.77734375"/>
    <col min="20" max="20" width="16.21875" style="8" customWidth="1"/>
    <col min="22" max="22" width="12.21875" bestFit="1" customWidth="1"/>
    <col min="23" max="23" width="10.77734375" bestFit="1" customWidth="1"/>
    <col min="32" max="32" width="14.21875" customWidth="1"/>
    <col min="33" max="33" width="10.77734375" customWidth="1"/>
  </cols>
  <sheetData>
    <row r="1" spans="1:33" x14ac:dyDescent="0.3">
      <c r="A1" s="89" t="s">
        <v>18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R1" s="89" t="s">
        <v>19</v>
      </c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</row>
    <row r="2" spans="1:33" x14ac:dyDescent="0.3">
      <c r="C2" s="13" t="s">
        <v>0</v>
      </c>
      <c r="D2" s="13" t="s">
        <v>17</v>
      </c>
      <c r="N2" s="10" t="s">
        <v>0</v>
      </c>
      <c r="O2" s="10" t="s">
        <v>14</v>
      </c>
      <c r="S2" s="10" t="s">
        <v>0</v>
      </c>
      <c r="T2" s="15" t="s">
        <v>17</v>
      </c>
      <c r="AF2" s="10" t="s">
        <v>0</v>
      </c>
      <c r="AG2" s="10" t="s">
        <v>14</v>
      </c>
    </row>
    <row r="3" spans="1:33" ht="15.6" x14ac:dyDescent="0.3">
      <c r="C3" s="11">
        <v>46053</v>
      </c>
      <c r="D3" s="12">
        <v>42960</v>
      </c>
      <c r="F3" s="26" t="s">
        <v>1</v>
      </c>
      <c r="G3" s="27" t="s">
        <v>21</v>
      </c>
      <c r="N3" s="11">
        <v>46053</v>
      </c>
      <c r="O3" s="12">
        <v>51093</v>
      </c>
      <c r="S3" s="11">
        <v>46022</v>
      </c>
      <c r="T3" s="12">
        <v>-591</v>
      </c>
      <c r="AF3" s="17">
        <v>46022</v>
      </c>
      <c r="AG3" s="18">
        <v>4943</v>
      </c>
    </row>
    <row r="4" spans="1:33" ht="15.6" x14ac:dyDescent="0.3">
      <c r="C4" s="11">
        <v>45961</v>
      </c>
      <c r="D4" s="12">
        <v>31910</v>
      </c>
      <c r="F4" s="28" t="s">
        <v>2</v>
      </c>
      <c r="G4" s="30">
        <v>137</v>
      </c>
      <c r="N4" s="11">
        <v>45961</v>
      </c>
      <c r="O4" s="12">
        <v>41849</v>
      </c>
      <c r="S4" s="11">
        <v>45930</v>
      </c>
      <c r="T4" s="12">
        <v>4063</v>
      </c>
      <c r="AF4" s="17">
        <v>45930</v>
      </c>
      <c r="AG4" s="18">
        <v>5218</v>
      </c>
    </row>
    <row r="5" spans="1:33" ht="15.6" x14ac:dyDescent="0.3">
      <c r="C5" s="11">
        <v>45869</v>
      </c>
      <c r="D5" s="12">
        <v>26422</v>
      </c>
      <c r="F5" s="28" t="s">
        <v>3</v>
      </c>
      <c r="G5" s="30">
        <v>134</v>
      </c>
      <c r="N5" s="11">
        <v>45869</v>
      </c>
      <c r="O5" s="12">
        <v>33853</v>
      </c>
      <c r="S5" s="11">
        <v>45838</v>
      </c>
      <c r="T5" s="12">
        <v>-2918</v>
      </c>
      <c r="V5" s="2" t="s">
        <v>1</v>
      </c>
      <c r="W5" s="3" t="s">
        <v>17</v>
      </c>
      <c r="AF5" s="17">
        <v>45838</v>
      </c>
      <c r="AG5" s="18">
        <v>3542</v>
      </c>
    </row>
    <row r="6" spans="1:33" ht="15.6" x14ac:dyDescent="0.3">
      <c r="C6" s="11">
        <v>45777</v>
      </c>
      <c r="D6" s="12">
        <v>18775</v>
      </c>
      <c r="F6" s="28" t="s">
        <v>4</v>
      </c>
      <c r="G6" s="30">
        <v>208</v>
      </c>
      <c r="N6" s="11">
        <v>45777</v>
      </c>
      <c r="O6" s="12">
        <v>26668</v>
      </c>
      <c r="S6" s="11">
        <v>45747</v>
      </c>
      <c r="T6" s="12">
        <v>-821</v>
      </c>
      <c r="V6" s="4" t="s">
        <v>2</v>
      </c>
      <c r="W6" s="6">
        <v>11704</v>
      </c>
      <c r="AF6" s="17">
        <v>45747</v>
      </c>
      <c r="AG6" s="18">
        <v>4672</v>
      </c>
    </row>
    <row r="7" spans="1:33" ht="15.6" x14ac:dyDescent="0.3">
      <c r="C7" s="11">
        <v>45688</v>
      </c>
      <c r="D7" s="12">
        <v>22091</v>
      </c>
      <c r="F7" s="28" t="s">
        <v>5</v>
      </c>
      <c r="G7" s="30">
        <v>507</v>
      </c>
      <c r="N7" s="11">
        <v>45688</v>
      </c>
      <c r="O7" s="12">
        <v>28722</v>
      </c>
      <c r="S7" s="11">
        <v>45657</v>
      </c>
      <c r="T7" s="12">
        <v>-126</v>
      </c>
      <c r="V7" s="4" t="s">
        <v>3</v>
      </c>
      <c r="W7" s="6">
        <v>11420</v>
      </c>
      <c r="AF7" s="17">
        <v>45657</v>
      </c>
      <c r="AG7" s="18">
        <v>5584</v>
      </c>
    </row>
    <row r="8" spans="1:33" ht="15.6" x14ac:dyDescent="0.3">
      <c r="C8" s="11">
        <v>45596</v>
      </c>
      <c r="D8" s="12">
        <v>19309</v>
      </c>
      <c r="F8" s="28" t="s">
        <v>6</v>
      </c>
      <c r="G8" s="30">
        <v>1244</v>
      </c>
      <c r="N8" s="11">
        <v>45596</v>
      </c>
      <c r="O8" s="12">
        <v>26156</v>
      </c>
      <c r="S8" s="11">
        <v>45565</v>
      </c>
      <c r="T8" s="12">
        <v>-16639</v>
      </c>
      <c r="V8" s="4" t="s">
        <v>4</v>
      </c>
      <c r="W8" s="6">
        <v>10316</v>
      </c>
      <c r="AF8" s="17">
        <v>45565</v>
      </c>
      <c r="AG8" s="18">
        <v>1997</v>
      </c>
    </row>
    <row r="9" spans="1:33" ht="15.6" x14ac:dyDescent="0.3">
      <c r="C9" s="11">
        <v>45504</v>
      </c>
      <c r="D9" s="12">
        <v>16599</v>
      </c>
      <c r="F9" s="28" t="s">
        <v>7</v>
      </c>
      <c r="G9" s="30">
        <v>394</v>
      </c>
      <c r="N9" s="11">
        <v>45504</v>
      </c>
      <c r="O9" s="12">
        <v>22574</v>
      </c>
      <c r="S9" s="11">
        <v>45473</v>
      </c>
      <c r="T9" s="12">
        <v>-1610</v>
      </c>
      <c r="V9" s="4" t="s">
        <v>5</v>
      </c>
      <c r="W9" s="6">
        <v>9601</v>
      </c>
      <c r="AF9" s="17">
        <v>45473</v>
      </c>
      <c r="AG9" s="18">
        <v>4547</v>
      </c>
    </row>
    <row r="10" spans="1:33" ht="15.6" x14ac:dyDescent="0.3">
      <c r="C10" s="11">
        <v>45412</v>
      </c>
      <c r="D10" s="12">
        <v>14881</v>
      </c>
      <c r="F10" s="28" t="s">
        <v>8</v>
      </c>
      <c r="G10" s="30">
        <v>917</v>
      </c>
      <c r="N10" s="11">
        <v>45412</v>
      </c>
      <c r="O10" s="12">
        <v>20406</v>
      </c>
      <c r="S10" s="11">
        <v>45382</v>
      </c>
      <c r="T10" s="12">
        <v>-381</v>
      </c>
      <c r="V10" s="4" t="s">
        <v>6</v>
      </c>
      <c r="W10" s="6">
        <v>21053</v>
      </c>
      <c r="AF10" s="17">
        <v>45382</v>
      </c>
      <c r="AG10" s="18">
        <v>5217</v>
      </c>
    </row>
    <row r="11" spans="1:33" ht="15.6" x14ac:dyDescent="0.3">
      <c r="C11" s="11">
        <v>45322</v>
      </c>
      <c r="D11" s="12">
        <v>12286</v>
      </c>
      <c r="F11" s="28" t="s">
        <v>9</v>
      </c>
      <c r="G11" s="30">
        <v>1912</v>
      </c>
      <c r="N11" s="11">
        <v>45322</v>
      </c>
      <c r="O11" s="12">
        <v>16791</v>
      </c>
      <c r="S11" s="11">
        <v>45291</v>
      </c>
      <c r="T11" s="12">
        <v>2669</v>
      </c>
      <c r="V11" s="4" t="s">
        <v>7</v>
      </c>
      <c r="W11" s="6">
        <v>21048</v>
      </c>
      <c r="AF11" s="17">
        <v>45291</v>
      </c>
      <c r="AG11" s="18">
        <v>7047</v>
      </c>
    </row>
    <row r="12" spans="1:33" ht="15.6" x14ac:dyDescent="0.3">
      <c r="C12" s="11">
        <v>45230</v>
      </c>
      <c r="D12" s="12">
        <v>9243</v>
      </c>
      <c r="F12" s="28" t="s">
        <v>10</v>
      </c>
      <c r="G12" s="30">
        <v>1618</v>
      </c>
      <c r="N12" s="11">
        <v>45230</v>
      </c>
      <c r="O12" s="12">
        <v>13400</v>
      </c>
      <c r="S12" s="11">
        <v>45199</v>
      </c>
      <c r="T12" s="12">
        <v>297</v>
      </c>
      <c r="V12" s="4" t="s">
        <v>8</v>
      </c>
      <c r="W12" s="6">
        <v>20899</v>
      </c>
      <c r="AF12" s="17">
        <v>45199</v>
      </c>
      <c r="AG12" s="18">
        <v>6018</v>
      </c>
    </row>
    <row r="13" spans="1:33" ht="15.6" x14ac:dyDescent="0.3">
      <c r="C13" s="11">
        <v>45138</v>
      </c>
      <c r="D13" s="12">
        <v>6188</v>
      </c>
      <c r="F13" s="28" t="s">
        <v>11</v>
      </c>
      <c r="G13" s="30">
        <v>2043</v>
      </c>
      <c r="N13" s="11">
        <v>45138</v>
      </c>
      <c r="O13" s="12">
        <v>9462</v>
      </c>
      <c r="S13" s="11">
        <v>45107</v>
      </c>
      <c r="T13" s="12">
        <v>1481</v>
      </c>
      <c r="V13" s="4" t="s">
        <v>9</v>
      </c>
      <c r="W13" s="6">
        <v>19868</v>
      </c>
      <c r="AF13" s="17">
        <v>45107</v>
      </c>
      <c r="AG13" s="18">
        <v>4638</v>
      </c>
    </row>
    <row r="14" spans="1:33" ht="15.6" x14ac:dyDescent="0.3">
      <c r="C14" s="11">
        <v>45046</v>
      </c>
      <c r="D14" s="12">
        <v>2043</v>
      </c>
      <c r="F14" s="28" t="s">
        <v>12</v>
      </c>
      <c r="G14" s="30">
        <v>14881</v>
      </c>
      <c r="N14" s="11">
        <v>45046</v>
      </c>
      <c r="O14" s="12">
        <v>4648</v>
      </c>
      <c r="S14" s="11">
        <v>45016</v>
      </c>
      <c r="T14" s="12">
        <v>-2758</v>
      </c>
      <c r="V14" s="4" t="s">
        <v>10</v>
      </c>
      <c r="W14" s="6">
        <v>8014</v>
      </c>
      <c r="AF14" s="17">
        <v>45016</v>
      </c>
      <c r="AG14" s="18">
        <v>4008</v>
      </c>
    </row>
    <row r="15" spans="1:33" ht="15.6" x14ac:dyDescent="0.3">
      <c r="C15" s="11">
        <v>44957</v>
      </c>
      <c r="D15" s="12">
        <v>1414</v>
      </c>
      <c r="F15" s="29" t="s">
        <v>13</v>
      </c>
      <c r="G15" s="31">
        <v>18775</v>
      </c>
      <c r="N15" s="11">
        <v>44957</v>
      </c>
      <c r="O15" s="12">
        <v>3833</v>
      </c>
      <c r="S15" s="11">
        <v>44926</v>
      </c>
      <c r="T15" s="12">
        <v>-664</v>
      </c>
      <c r="V15" s="4" t="s">
        <v>11</v>
      </c>
      <c r="W15" s="6">
        <v>1689</v>
      </c>
      <c r="AF15" s="17">
        <v>44926</v>
      </c>
      <c r="AG15" s="18">
        <v>5500</v>
      </c>
    </row>
    <row r="16" spans="1:33" ht="15.6" x14ac:dyDescent="0.3">
      <c r="C16" s="11">
        <v>44865</v>
      </c>
      <c r="D16" s="12">
        <v>680</v>
      </c>
      <c r="N16" s="11">
        <v>44865</v>
      </c>
      <c r="O16" s="12">
        <v>3177</v>
      </c>
      <c r="S16" s="11">
        <v>44834</v>
      </c>
      <c r="T16" s="12">
        <v>1019</v>
      </c>
      <c r="V16" s="4" t="s">
        <v>12</v>
      </c>
      <c r="W16" s="6">
        <v>-18756</v>
      </c>
      <c r="AF16" s="17">
        <v>44834</v>
      </c>
      <c r="AG16" s="18">
        <v>6535</v>
      </c>
    </row>
    <row r="17" spans="3:33" ht="15.6" x14ac:dyDescent="0.3">
      <c r="C17" s="11">
        <v>44773</v>
      </c>
      <c r="D17" s="12">
        <v>656</v>
      </c>
      <c r="N17" s="11">
        <v>44773</v>
      </c>
      <c r="O17" s="12">
        <v>2915</v>
      </c>
      <c r="S17" s="11">
        <v>44742</v>
      </c>
      <c r="T17" s="12">
        <v>-454</v>
      </c>
      <c r="V17" s="5" t="s">
        <v>13</v>
      </c>
      <c r="W17" s="7">
        <v>-267</v>
      </c>
      <c r="AF17" s="17">
        <v>44742</v>
      </c>
      <c r="AG17" s="18">
        <v>5587</v>
      </c>
    </row>
    <row r="18" spans="3:33" ht="15.6" x14ac:dyDescent="0.3">
      <c r="C18" s="11">
        <v>44681</v>
      </c>
      <c r="D18" s="12">
        <v>1618</v>
      </c>
      <c r="N18" s="11">
        <v>44681</v>
      </c>
      <c r="O18" s="12">
        <v>5431</v>
      </c>
      <c r="S18" s="11">
        <v>44651</v>
      </c>
      <c r="T18" s="12">
        <v>8113</v>
      </c>
      <c r="AF18" s="17">
        <v>44651</v>
      </c>
      <c r="AG18" s="18">
        <v>9244</v>
      </c>
    </row>
    <row r="19" spans="3:33" ht="15.6" x14ac:dyDescent="0.3">
      <c r="C19" s="11">
        <v>44592</v>
      </c>
      <c r="D19" s="12">
        <v>3002</v>
      </c>
      <c r="F19" s="26" t="s">
        <v>1</v>
      </c>
      <c r="G19" s="27" t="s">
        <v>23</v>
      </c>
      <c r="N19" s="11">
        <v>44592</v>
      </c>
      <c r="O19" s="12">
        <v>5000</v>
      </c>
      <c r="S19" s="11">
        <v>44561</v>
      </c>
      <c r="T19" s="12">
        <v>4623</v>
      </c>
      <c r="AF19" s="17">
        <v>44561</v>
      </c>
      <c r="AG19" s="18">
        <v>11009</v>
      </c>
    </row>
    <row r="20" spans="3:33" ht="15.6" x14ac:dyDescent="0.3">
      <c r="C20" s="11">
        <v>44500</v>
      </c>
      <c r="D20" s="12">
        <v>2464</v>
      </c>
      <c r="F20" s="28" t="s">
        <v>2</v>
      </c>
      <c r="G20" s="30">
        <v>2518</v>
      </c>
      <c r="N20" s="11">
        <v>44500</v>
      </c>
      <c r="O20" s="12">
        <v>4631</v>
      </c>
      <c r="S20" s="11">
        <v>44469</v>
      </c>
      <c r="T20" s="12">
        <v>6823</v>
      </c>
      <c r="AF20" s="17">
        <v>44469</v>
      </c>
      <c r="AG20" s="18">
        <v>10746</v>
      </c>
    </row>
    <row r="21" spans="3:33" ht="15.6" x14ac:dyDescent="0.3">
      <c r="C21" s="11">
        <v>44408</v>
      </c>
      <c r="D21" s="12">
        <v>2374</v>
      </c>
      <c r="F21" s="28" t="s">
        <v>3</v>
      </c>
      <c r="G21" s="30">
        <v>2721</v>
      </c>
      <c r="N21" s="11">
        <v>44408</v>
      </c>
      <c r="O21" s="12">
        <v>4215</v>
      </c>
      <c r="S21" s="11">
        <v>44377</v>
      </c>
      <c r="T21" s="12">
        <v>5061</v>
      </c>
      <c r="V21" s="26" t="s">
        <v>1</v>
      </c>
      <c r="W21" s="27" t="s">
        <v>20</v>
      </c>
      <c r="AF21" s="17">
        <v>44377</v>
      </c>
      <c r="AG21" s="18">
        <v>11206</v>
      </c>
    </row>
    <row r="22" spans="3:33" ht="15.6" x14ac:dyDescent="0.3">
      <c r="C22" s="11">
        <v>44316</v>
      </c>
      <c r="D22" s="12">
        <v>1912</v>
      </c>
      <c r="F22" s="28" t="s">
        <v>4</v>
      </c>
      <c r="G22" s="30">
        <v>3550</v>
      </c>
      <c r="N22" s="11">
        <v>44316</v>
      </c>
      <c r="O22" s="12">
        <v>3629</v>
      </c>
      <c r="S22" s="11">
        <v>44286</v>
      </c>
      <c r="T22" s="12">
        <v>3361</v>
      </c>
      <c r="V22" s="28" t="s">
        <v>2</v>
      </c>
      <c r="W22" s="30">
        <v>35609</v>
      </c>
      <c r="AF22" s="17">
        <v>44286</v>
      </c>
      <c r="AG22" s="18">
        <v>10854</v>
      </c>
    </row>
    <row r="23" spans="3:33" ht="15.6" x14ac:dyDescent="0.3">
      <c r="C23" s="11">
        <v>44227</v>
      </c>
      <c r="D23" s="12">
        <v>1457</v>
      </c>
      <c r="F23" s="28" t="s">
        <v>5</v>
      </c>
      <c r="G23" s="30">
        <v>5324</v>
      </c>
      <c r="N23" s="11">
        <v>44227</v>
      </c>
      <c r="O23" s="12">
        <v>3157</v>
      </c>
      <c r="S23" s="11">
        <v>44196</v>
      </c>
      <c r="T23" s="12">
        <v>5857</v>
      </c>
      <c r="V23" s="28" t="s">
        <v>3</v>
      </c>
      <c r="W23" s="30">
        <v>34679</v>
      </c>
      <c r="AF23" s="17">
        <v>44196</v>
      </c>
      <c r="AG23" s="18">
        <v>11348</v>
      </c>
    </row>
    <row r="24" spans="3:33" ht="15.6" x14ac:dyDescent="0.3">
      <c r="C24" s="11">
        <v>44135</v>
      </c>
      <c r="D24" s="12">
        <v>1336</v>
      </c>
      <c r="F24" s="28" t="s">
        <v>6</v>
      </c>
      <c r="G24" s="30">
        <v>7765</v>
      </c>
      <c r="N24" s="11">
        <v>44135</v>
      </c>
      <c r="O24" s="12">
        <v>2960</v>
      </c>
      <c r="S24" s="11">
        <v>44104</v>
      </c>
      <c r="T24" s="12">
        <v>4276</v>
      </c>
      <c r="V24" s="28" t="s">
        <v>4</v>
      </c>
      <c r="W24" s="30">
        <v>36233</v>
      </c>
      <c r="AF24" s="17">
        <v>44104</v>
      </c>
      <c r="AG24" s="18">
        <v>9741</v>
      </c>
    </row>
    <row r="25" spans="3:33" ht="15.6" x14ac:dyDescent="0.3">
      <c r="C25" s="11">
        <v>44043</v>
      </c>
      <c r="D25" s="12">
        <v>622</v>
      </c>
      <c r="F25" s="28" t="s">
        <v>7</v>
      </c>
      <c r="G25" s="30">
        <v>5960</v>
      </c>
      <c r="N25" s="11">
        <v>44043</v>
      </c>
      <c r="O25" s="12">
        <v>2275</v>
      </c>
      <c r="S25" s="11">
        <v>44012</v>
      </c>
      <c r="T25" s="12">
        <v>5105</v>
      </c>
      <c r="V25" s="28" t="s">
        <v>5</v>
      </c>
      <c r="W25" s="30">
        <v>39098</v>
      </c>
      <c r="AF25" s="17">
        <v>44012</v>
      </c>
      <c r="AG25" s="18">
        <v>10507</v>
      </c>
    </row>
    <row r="26" spans="3:33" ht="15.6" x14ac:dyDescent="0.3">
      <c r="C26" s="11">
        <v>43951</v>
      </c>
      <c r="D26" s="12">
        <v>917</v>
      </c>
      <c r="F26" s="28" t="s">
        <v>8</v>
      </c>
      <c r="G26" s="30">
        <v>9254</v>
      </c>
      <c r="N26" s="11">
        <v>43951</v>
      </c>
      <c r="O26" s="12">
        <v>2004</v>
      </c>
      <c r="S26" s="11">
        <v>43921</v>
      </c>
      <c r="T26" s="12">
        <v>5661</v>
      </c>
      <c r="V26" s="28" t="s">
        <v>6</v>
      </c>
      <c r="W26" s="30">
        <v>43737</v>
      </c>
      <c r="AF26" s="17">
        <v>43921</v>
      </c>
      <c r="AG26" s="18">
        <v>12016</v>
      </c>
    </row>
    <row r="27" spans="3:33" ht="15.6" x14ac:dyDescent="0.3">
      <c r="C27" s="11">
        <v>43861</v>
      </c>
      <c r="D27" s="12">
        <v>951</v>
      </c>
      <c r="F27" s="28" t="s">
        <v>9</v>
      </c>
      <c r="G27" s="30">
        <v>15632</v>
      </c>
      <c r="N27" s="11">
        <v>43861</v>
      </c>
      <c r="O27" s="12">
        <v>2015</v>
      </c>
      <c r="S27" s="11">
        <v>43830</v>
      </c>
      <c r="T27" s="12">
        <v>6905</v>
      </c>
      <c r="V27" s="28" t="s">
        <v>7</v>
      </c>
      <c r="W27" s="30">
        <v>42140</v>
      </c>
      <c r="AF27" s="17">
        <v>43830</v>
      </c>
      <c r="AG27" s="18">
        <v>11878</v>
      </c>
    </row>
    <row r="28" spans="3:33" ht="15.6" x14ac:dyDescent="0.3">
      <c r="C28" s="11">
        <v>43769</v>
      </c>
      <c r="D28" s="12">
        <v>899</v>
      </c>
      <c r="F28" s="28" t="s">
        <v>10</v>
      </c>
      <c r="G28" s="30">
        <v>16523</v>
      </c>
      <c r="N28" s="11">
        <v>43769</v>
      </c>
      <c r="O28" s="12">
        <v>1916</v>
      </c>
      <c r="S28" s="11">
        <v>43738</v>
      </c>
      <c r="T28" s="12">
        <v>5990</v>
      </c>
      <c r="V28" s="28" t="s">
        <v>8</v>
      </c>
      <c r="W28" s="30">
        <v>43612</v>
      </c>
      <c r="AF28" s="17">
        <v>43738</v>
      </c>
      <c r="AG28" s="18">
        <v>11295</v>
      </c>
    </row>
    <row r="29" spans="3:33" ht="15.6" x14ac:dyDescent="0.3">
      <c r="C29" s="11">
        <v>43677</v>
      </c>
      <c r="D29" s="12">
        <v>552</v>
      </c>
      <c r="F29" s="28" t="s">
        <v>11</v>
      </c>
      <c r="G29" s="30">
        <v>31343</v>
      </c>
      <c r="N29" s="11">
        <v>43677</v>
      </c>
      <c r="O29" s="12">
        <v>1541</v>
      </c>
      <c r="S29" s="11">
        <v>43646</v>
      </c>
      <c r="T29" s="12">
        <v>4179</v>
      </c>
      <c r="V29" s="28" t="s">
        <v>9</v>
      </c>
      <c r="W29" s="30">
        <v>43815</v>
      </c>
      <c r="AF29" s="17">
        <v>43646</v>
      </c>
      <c r="AG29" s="18">
        <v>9878</v>
      </c>
    </row>
    <row r="30" spans="3:33" ht="15.6" x14ac:dyDescent="0.3">
      <c r="C30" s="11">
        <v>43585</v>
      </c>
      <c r="D30" s="12">
        <v>394</v>
      </c>
      <c r="F30" s="28" t="s">
        <v>12</v>
      </c>
      <c r="G30" s="30">
        <v>85927</v>
      </c>
      <c r="N30" s="11">
        <v>43585</v>
      </c>
      <c r="O30" s="12">
        <v>1296</v>
      </c>
      <c r="S30" s="11">
        <v>43555</v>
      </c>
      <c r="T30" s="12">
        <v>3974</v>
      </c>
      <c r="V30" s="28" t="s">
        <v>10</v>
      </c>
      <c r="W30" s="30">
        <v>26866</v>
      </c>
      <c r="AF30" s="17">
        <v>43555</v>
      </c>
      <c r="AG30" s="18">
        <v>9089</v>
      </c>
    </row>
    <row r="31" spans="3:33" ht="15.6" x14ac:dyDescent="0.3">
      <c r="C31" s="11">
        <v>43496</v>
      </c>
      <c r="D31" s="12">
        <v>566</v>
      </c>
      <c r="F31" s="29" t="s">
        <v>13</v>
      </c>
      <c r="G31" s="31">
        <v>131092</v>
      </c>
      <c r="N31" s="11">
        <v>43496</v>
      </c>
      <c r="O31" s="12">
        <v>1207</v>
      </c>
      <c r="S31" s="11">
        <v>43465</v>
      </c>
      <c r="T31" s="12">
        <v>5195</v>
      </c>
      <c r="V31" s="28" t="s">
        <v>11</v>
      </c>
      <c r="W31" s="30">
        <v>21711</v>
      </c>
      <c r="AF31" s="17">
        <v>43465</v>
      </c>
      <c r="AG31" s="18">
        <v>11227</v>
      </c>
    </row>
    <row r="32" spans="3:33" ht="15.6" x14ac:dyDescent="0.3">
      <c r="C32" s="11">
        <v>43404</v>
      </c>
      <c r="D32" s="12">
        <v>1230</v>
      </c>
      <c r="N32" s="11">
        <v>43404</v>
      </c>
      <c r="O32" s="12">
        <v>1921</v>
      </c>
      <c r="S32" s="11">
        <v>43373</v>
      </c>
      <c r="T32" s="12">
        <v>6398</v>
      </c>
      <c r="V32" s="28" t="s">
        <v>12</v>
      </c>
      <c r="W32" s="30">
        <v>17345</v>
      </c>
      <c r="AF32" s="17">
        <v>43373</v>
      </c>
      <c r="AG32" s="18">
        <v>12360</v>
      </c>
    </row>
    <row r="33" spans="3:33" ht="15.6" x14ac:dyDescent="0.3">
      <c r="C33" s="11">
        <v>43312</v>
      </c>
      <c r="D33" s="12">
        <v>1101</v>
      </c>
      <c r="N33" s="11">
        <v>43312</v>
      </c>
      <c r="O33" s="12">
        <v>1975</v>
      </c>
      <c r="S33" s="11">
        <v>43281</v>
      </c>
      <c r="T33" s="12">
        <v>5006</v>
      </c>
      <c r="V33" s="29" t="s">
        <v>13</v>
      </c>
      <c r="W33" s="31">
        <v>18375</v>
      </c>
      <c r="AF33" s="17">
        <v>43281</v>
      </c>
      <c r="AG33" s="18">
        <v>10419</v>
      </c>
    </row>
    <row r="34" spans="3:33" ht="15.6" x14ac:dyDescent="0.3">
      <c r="C34" s="11">
        <v>43220</v>
      </c>
      <c r="D34" s="12">
        <v>1244</v>
      </c>
      <c r="N34" s="11">
        <v>43220</v>
      </c>
      <c r="O34" s="12">
        <v>2068</v>
      </c>
      <c r="S34" s="11">
        <v>43190</v>
      </c>
      <c r="T34" s="12">
        <v>4454</v>
      </c>
      <c r="AF34" s="17">
        <v>43190</v>
      </c>
      <c r="AG34" s="18">
        <v>9731</v>
      </c>
    </row>
    <row r="35" spans="3:33" ht="15.6" x14ac:dyDescent="0.3">
      <c r="C35" s="11">
        <v>43131</v>
      </c>
      <c r="D35" s="12">
        <v>1119</v>
      </c>
      <c r="N35" s="11">
        <v>43131</v>
      </c>
      <c r="O35" s="12">
        <v>1801</v>
      </c>
      <c r="S35" s="11">
        <v>43100</v>
      </c>
      <c r="T35" s="12">
        <v>-687</v>
      </c>
      <c r="AF35" s="17">
        <v>43100</v>
      </c>
      <c r="AG35" s="18">
        <v>10778</v>
      </c>
    </row>
    <row r="36" spans="3:33" ht="15.6" x14ac:dyDescent="0.3">
      <c r="C36" s="11">
        <v>43039</v>
      </c>
      <c r="D36" s="12">
        <v>838</v>
      </c>
      <c r="N36" s="11">
        <v>43039</v>
      </c>
      <c r="O36" s="12">
        <v>1569</v>
      </c>
      <c r="S36" s="11">
        <v>43008</v>
      </c>
      <c r="T36" s="12">
        <v>4516</v>
      </c>
      <c r="AF36" s="17">
        <v>43008</v>
      </c>
      <c r="AG36" s="18">
        <v>10064</v>
      </c>
    </row>
    <row r="37" spans="3:33" ht="15.6" x14ac:dyDescent="0.3">
      <c r="C37" s="11">
        <v>42947</v>
      </c>
      <c r="D37" s="12">
        <v>583</v>
      </c>
      <c r="N37" s="11">
        <v>42947</v>
      </c>
      <c r="O37" s="12">
        <v>1302</v>
      </c>
      <c r="S37" s="11">
        <v>42916</v>
      </c>
      <c r="T37" s="12">
        <v>2808</v>
      </c>
      <c r="AF37" s="17">
        <v>42916</v>
      </c>
      <c r="AG37" s="18">
        <v>9096</v>
      </c>
    </row>
    <row r="38" spans="3:33" ht="15.6" x14ac:dyDescent="0.3">
      <c r="C38" s="11">
        <v>42855</v>
      </c>
      <c r="D38" s="12">
        <v>507</v>
      </c>
      <c r="N38" s="11">
        <v>42855</v>
      </c>
      <c r="O38" s="12">
        <v>1150</v>
      </c>
      <c r="S38" s="11">
        <v>42825</v>
      </c>
      <c r="T38" s="12">
        <v>2964</v>
      </c>
      <c r="AF38" s="17">
        <v>42825</v>
      </c>
      <c r="AG38" s="18">
        <v>9160</v>
      </c>
    </row>
    <row r="39" spans="3:33" ht="15.6" x14ac:dyDescent="0.3">
      <c r="C39" s="11">
        <v>42766</v>
      </c>
      <c r="D39" s="12">
        <v>655</v>
      </c>
      <c r="N39" s="11">
        <v>42766</v>
      </c>
      <c r="O39" s="12">
        <v>1303</v>
      </c>
      <c r="S39" s="11">
        <v>42735</v>
      </c>
      <c r="T39" s="12">
        <v>3562</v>
      </c>
      <c r="AF39" s="17">
        <v>42735</v>
      </c>
      <c r="AG39" s="18">
        <v>10147</v>
      </c>
    </row>
    <row r="40" spans="3:33" ht="15.6" x14ac:dyDescent="0.3">
      <c r="C40" s="11">
        <v>42674</v>
      </c>
      <c r="D40" s="12">
        <v>542</v>
      </c>
      <c r="N40" s="11">
        <v>42674</v>
      </c>
      <c r="O40" s="12">
        <v>1183</v>
      </c>
      <c r="S40" s="11">
        <v>42643</v>
      </c>
      <c r="T40" s="12">
        <v>3378</v>
      </c>
      <c r="AF40" s="17">
        <v>42643</v>
      </c>
      <c r="AG40" s="18">
        <v>9983</v>
      </c>
    </row>
    <row r="41" spans="3:33" ht="15.6" x14ac:dyDescent="0.3">
      <c r="C41" s="11">
        <v>42582</v>
      </c>
      <c r="D41" s="12">
        <v>261</v>
      </c>
      <c r="N41" s="11">
        <v>42582</v>
      </c>
      <c r="O41" s="12">
        <v>826</v>
      </c>
      <c r="S41" s="11">
        <v>42551</v>
      </c>
      <c r="T41" s="12">
        <v>1330</v>
      </c>
      <c r="AF41" s="17">
        <v>42551</v>
      </c>
      <c r="AG41" s="18">
        <v>7973</v>
      </c>
    </row>
    <row r="42" spans="3:33" ht="15.6" x14ac:dyDescent="0.3">
      <c r="C42" s="11">
        <v>42490</v>
      </c>
      <c r="D42" s="12">
        <v>208</v>
      </c>
      <c r="N42" s="11">
        <v>42490</v>
      </c>
      <c r="O42" s="12">
        <v>751</v>
      </c>
      <c r="S42" s="11">
        <v>42460</v>
      </c>
      <c r="T42" s="12">
        <v>2046</v>
      </c>
      <c r="AF42" s="17">
        <v>42460</v>
      </c>
      <c r="AG42" s="18">
        <v>8130</v>
      </c>
    </row>
    <row r="43" spans="3:33" ht="15.6" x14ac:dyDescent="0.3">
      <c r="C43" s="11">
        <v>42400</v>
      </c>
      <c r="D43" s="12">
        <v>208</v>
      </c>
      <c r="N43" s="11">
        <v>42400</v>
      </c>
      <c r="O43" s="12">
        <v>790</v>
      </c>
      <c r="S43" s="11">
        <v>42369</v>
      </c>
      <c r="T43" s="12">
        <v>3613</v>
      </c>
      <c r="AF43" s="17">
        <v>42369</v>
      </c>
      <c r="AG43" s="18">
        <v>9590</v>
      </c>
    </row>
    <row r="44" spans="3:33" ht="15.6" x14ac:dyDescent="0.3">
      <c r="C44" s="11">
        <v>42308</v>
      </c>
      <c r="D44" s="12">
        <v>246</v>
      </c>
      <c r="N44" s="11">
        <v>42308</v>
      </c>
      <c r="O44" s="12">
        <v>734</v>
      </c>
      <c r="S44" s="11">
        <v>42277</v>
      </c>
      <c r="T44" s="12">
        <v>3109</v>
      </c>
      <c r="AF44" s="17">
        <v>42277</v>
      </c>
      <c r="AG44" s="18">
        <v>9111</v>
      </c>
    </row>
    <row r="45" spans="3:33" ht="15.6" x14ac:dyDescent="0.3">
      <c r="C45" s="11">
        <v>42216</v>
      </c>
      <c r="D45" s="12">
        <v>26</v>
      </c>
      <c r="N45" s="11">
        <v>42216</v>
      </c>
      <c r="O45" s="12">
        <v>634</v>
      </c>
      <c r="S45" s="11">
        <v>42185</v>
      </c>
      <c r="T45" s="12">
        <v>2706</v>
      </c>
      <c r="AF45" s="17">
        <v>42185</v>
      </c>
      <c r="AG45" s="18">
        <v>8248</v>
      </c>
    </row>
    <row r="46" spans="3:33" ht="15.6" x14ac:dyDescent="0.3">
      <c r="C46" s="11">
        <v>42124</v>
      </c>
      <c r="D46" s="12">
        <v>134</v>
      </c>
      <c r="N46" s="11">
        <v>42124</v>
      </c>
      <c r="O46" s="12">
        <v>653</v>
      </c>
      <c r="S46" s="11">
        <v>42094</v>
      </c>
      <c r="T46" s="12">
        <v>1992</v>
      </c>
      <c r="AF46" s="17">
        <v>42094</v>
      </c>
      <c r="AG46" s="18">
        <v>7730</v>
      </c>
    </row>
    <row r="47" spans="3:33" ht="15.6" x14ac:dyDescent="0.3">
      <c r="C47" s="11">
        <v>42035</v>
      </c>
      <c r="D47" s="12">
        <v>193</v>
      </c>
      <c r="N47" s="11">
        <v>42035</v>
      </c>
      <c r="O47" s="12">
        <v>700</v>
      </c>
      <c r="S47" s="11">
        <v>42004</v>
      </c>
      <c r="T47" s="12">
        <v>3661</v>
      </c>
      <c r="AF47" s="17">
        <v>42004</v>
      </c>
      <c r="AG47" s="18">
        <v>9621</v>
      </c>
    </row>
    <row r="48" spans="3:33" ht="15.6" x14ac:dyDescent="0.3">
      <c r="C48" s="11">
        <v>41943</v>
      </c>
      <c r="D48" s="12">
        <v>173</v>
      </c>
      <c r="N48" s="11">
        <v>41943</v>
      </c>
      <c r="O48" s="12">
        <v>676</v>
      </c>
      <c r="S48" s="11">
        <v>41912</v>
      </c>
      <c r="T48" s="12">
        <v>3317</v>
      </c>
      <c r="AF48" s="17">
        <v>41912</v>
      </c>
      <c r="AG48" s="18">
        <v>9458</v>
      </c>
    </row>
    <row r="49" spans="3:33" ht="15.6" x14ac:dyDescent="0.3">
      <c r="C49" s="11">
        <v>41851</v>
      </c>
      <c r="D49" s="12">
        <v>128</v>
      </c>
      <c r="N49" s="11">
        <v>41851</v>
      </c>
      <c r="O49" s="12">
        <v>619</v>
      </c>
      <c r="S49" s="11">
        <v>41820</v>
      </c>
      <c r="T49" s="12">
        <v>2796</v>
      </c>
      <c r="AF49" s="17">
        <v>41820</v>
      </c>
      <c r="AG49" s="18">
        <v>8917</v>
      </c>
    </row>
    <row r="50" spans="3:33" ht="15.6" x14ac:dyDescent="0.3">
      <c r="C50" s="11">
        <v>41759</v>
      </c>
      <c r="D50" s="12">
        <v>137</v>
      </c>
      <c r="N50" s="11">
        <v>41759</v>
      </c>
      <c r="O50" s="12">
        <v>604</v>
      </c>
      <c r="S50" s="11">
        <v>41729</v>
      </c>
      <c r="T50" s="12">
        <v>1930</v>
      </c>
      <c r="AF50" s="17">
        <v>41729</v>
      </c>
      <c r="AG50" s="18">
        <v>7613</v>
      </c>
    </row>
    <row r="51" spans="3:33" ht="15.6" x14ac:dyDescent="0.3">
      <c r="C51" s="11">
        <v>41670</v>
      </c>
      <c r="D51" s="12">
        <v>147</v>
      </c>
      <c r="N51" s="11">
        <v>41670</v>
      </c>
      <c r="O51" s="12">
        <v>619</v>
      </c>
      <c r="S51" s="11">
        <v>41639</v>
      </c>
      <c r="T51" s="12">
        <v>2625</v>
      </c>
      <c r="AF51" s="17">
        <v>41639</v>
      </c>
      <c r="AG51" s="18">
        <v>8571</v>
      </c>
    </row>
    <row r="52" spans="3:33" ht="15.6" x14ac:dyDescent="0.3">
      <c r="C52" s="11">
        <v>41578</v>
      </c>
      <c r="D52" s="12">
        <v>119</v>
      </c>
      <c r="N52" s="11">
        <v>41578</v>
      </c>
      <c r="O52" s="12">
        <v>584</v>
      </c>
      <c r="S52" s="11">
        <v>41547</v>
      </c>
      <c r="T52" s="12">
        <v>2950</v>
      </c>
      <c r="AF52" s="17">
        <v>41547</v>
      </c>
      <c r="AG52" s="18">
        <v>8414</v>
      </c>
    </row>
    <row r="53" spans="3:33" ht="15.6" x14ac:dyDescent="0.3">
      <c r="C53" s="11">
        <v>41486</v>
      </c>
      <c r="D53" s="12">
        <v>96</v>
      </c>
      <c r="N53" s="11">
        <v>41486</v>
      </c>
      <c r="O53" s="12">
        <v>546</v>
      </c>
      <c r="S53" s="11">
        <v>41455</v>
      </c>
      <c r="T53" s="12">
        <v>2000</v>
      </c>
      <c r="AF53" s="17">
        <v>41455</v>
      </c>
      <c r="AG53" s="18">
        <v>7470</v>
      </c>
    </row>
    <row r="54" spans="3:33" ht="15.6" x14ac:dyDescent="0.3">
      <c r="C54" s="11">
        <v>41394</v>
      </c>
      <c r="D54" s="12">
        <v>78</v>
      </c>
      <c r="N54" s="11">
        <v>41394</v>
      </c>
      <c r="O54" s="12">
        <v>519</v>
      </c>
      <c r="S54" s="11">
        <v>41364</v>
      </c>
      <c r="T54" s="12">
        <v>2045</v>
      </c>
      <c r="AF54" s="17">
        <v>41364</v>
      </c>
      <c r="AG54" s="18">
        <v>7066</v>
      </c>
    </row>
    <row r="55" spans="3:33" ht="15.6" x14ac:dyDescent="0.3">
      <c r="C55" s="11">
        <v>41305</v>
      </c>
      <c r="D55" s="12">
        <v>174</v>
      </c>
      <c r="N55" s="11">
        <v>41305</v>
      </c>
      <c r="O55" s="12">
        <v>586</v>
      </c>
      <c r="S55" s="11">
        <v>41274</v>
      </c>
      <c r="T55" s="12">
        <v>2468</v>
      </c>
      <c r="AF55" s="17">
        <v>41274</v>
      </c>
      <c r="AG55" s="18">
        <v>7817</v>
      </c>
    </row>
    <row r="56" spans="3:33" ht="15.6" x14ac:dyDescent="0.3">
      <c r="C56" s="11">
        <v>41213</v>
      </c>
      <c r="D56" s="12">
        <v>209</v>
      </c>
      <c r="N56" s="11">
        <v>41213</v>
      </c>
      <c r="O56" s="12">
        <v>637</v>
      </c>
      <c r="S56" s="11">
        <v>41182</v>
      </c>
      <c r="T56" s="12">
        <v>2972</v>
      </c>
      <c r="AF56" s="17">
        <v>41182</v>
      </c>
      <c r="AG56" s="18">
        <v>8515</v>
      </c>
    </row>
    <row r="57" spans="3:33" ht="15.6" x14ac:dyDescent="0.3">
      <c r="C57" s="11">
        <v>41121</v>
      </c>
      <c r="D57" s="12">
        <v>119</v>
      </c>
      <c r="N57" s="11">
        <v>41121</v>
      </c>
      <c r="O57" s="12">
        <v>541</v>
      </c>
      <c r="S57" s="11">
        <v>41090</v>
      </c>
      <c r="T57" s="12">
        <v>2827</v>
      </c>
      <c r="AF57" s="17">
        <v>41090</v>
      </c>
      <c r="AG57" s="18">
        <v>8554</v>
      </c>
    </row>
    <row r="58" spans="3:33" ht="15.6" x14ac:dyDescent="0.3">
      <c r="C58" s="11">
        <v>41029</v>
      </c>
      <c r="D58" s="12">
        <v>60</v>
      </c>
      <c r="N58" s="11">
        <v>41029</v>
      </c>
      <c r="O58" s="12">
        <v>463</v>
      </c>
      <c r="S58" s="11">
        <v>40999</v>
      </c>
      <c r="T58" s="12">
        <v>2738</v>
      </c>
      <c r="AF58" s="17">
        <v>40999</v>
      </c>
      <c r="AG58" s="18">
        <v>8265</v>
      </c>
    </row>
    <row r="59" spans="3:33" ht="15.6" x14ac:dyDescent="0.3">
      <c r="C59" s="11">
        <v>40939</v>
      </c>
      <c r="D59" s="12">
        <v>116</v>
      </c>
      <c r="N59" s="11">
        <v>40939</v>
      </c>
      <c r="O59" s="12">
        <v>490</v>
      </c>
      <c r="S59" s="11">
        <v>40908</v>
      </c>
      <c r="T59" s="12">
        <v>3360</v>
      </c>
      <c r="AF59" s="17">
        <v>40908</v>
      </c>
      <c r="AG59" s="18">
        <v>8952</v>
      </c>
    </row>
    <row r="60" spans="3:33" ht="15.6" x14ac:dyDescent="0.3">
      <c r="C60" s="11">
        <v>40847</v>
      </c>
      <c r="D60" s="12">
        <v>178</v>
      </c>
      <c r="N60" s="11">
        <v>40847</v>
      </c>
      <c r="O60" s="12">
        <v>557</v>
      </c>
      <c r="S60" s="11">
        <v>40816</v>
      </c>
      <c r="T60" s="12">
        <v>3468</v>
      </c>
      <c r="AF60" s="17">
        <v>40816</v>
      </c>
      <c r="AG60" s="18">
        <v>9018</v>
      </c>
    </row>
    <row r="61" spans="3:33" ht="15.6" x14ac:dyDescent="0.3">
      <c r="C61" s="11">
        <v>40755</v>
      </c>
      <c r="D61" s="12">
        <v>152</v>
      </c>
      <c r="N61" s="11">
        <v>40755</v>
      </c>
      <c r="O61" s="12">
        <v>525</v>
      </c>
      <c r="S61" s="11">
        <v>40724</v>
      </c>
      <c r="T61" s="12">
        <v>2954</v>
      </c>
      <c r="AF61" s="17">
        <v>40724</v>
      </c>
      <c r="AG61" s="18">
        <v>7902</v>
      </c>
    </row>
    <row r="62" spans="3:33" x14ac:dyDescent="0.3">
      <c r="C62" s="11">
        <v>40663</v>
      </c>
      <c r="D62" s="12">
        <v>135</v>
      </c>
      <c r="N62" s="11">
        <v>40663</v>
      </c>
      <c r="O62" s="12">
        <v>485</v>
      </c>
    </row>
  </sheetData>
  <mergeCells count="2">
    <mergeCell ref="A1:O1"/>
    <mergeCell ref="R1:AE1"/>
  </mergeCell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BDF3-BA00-4283-85B5-F8A28C746FEE}">
  <dimension ref="A1:P43"/>
  <sheetViews>
    <sheetView workbookViewId="0">
      <selection activeCell="F34" sqref="F34"/>
    </sheetView>
  </sheetViews>
  <sheetFormatPr defaultRowHeight="14.4" x14ac:dyDescent="0.3"/>
  <cols>
    <col min="2" max="2" width="18.21875" customWidth="1"/>
    <col min="3" max="3" width="18.109375" customWidth="1"/>
    <col min="4" max="4" width="18.21875" customWidth="1"/>
    <col min="5" max="5" width="14.6640625" customWidth="1"/>
    <col min="9" max="9" width="12.109375" bestFit="1" customWidth="1"/>
    <col min="10" max="10" width="12.21875" bestFit="1" customWidth="1"/>
    <col min="11" max="11" width="16.109375" bestFit="1" customWidth="1"/>
    <col min="12" max="12" width="25.5546875" bestFit="1" customWidth="1"/>
    <col min="13" max="13" width="21" customWidth="1"/>
    <col min="14" max="14" width="18.33203125" customWidth="1"/>
    <col min="15" max="15" width="26.44140625" customWidth="1"/>
    <col min="16" max="16" width="19.77734375" bestFit="1" customWidth="1"/>
    <col min="24" max="24" width="12.109375" bestFit="1" customWidth="1"/>
    <col min="25" max="25" width="10.109375" bestFit="1" customWidth="1"/>
    <col min="26" max="26" width="17.44140625" bestFit="1" customWidth="1"/>
  </cols>
  <sheetData>
    <row r="1" spans="1:16" x14ac:dyDescent="0.3">
      <c r="J1" s="90" t="s">
        <v>15</v>
      </c>
      <c r="K1" s="90"/>
      <c r="L1" s="90"/>
      <c r="M1" s="1"/>
      <c r="N1" s="91" t="s">
        <v>16</v>
      </c>
      <c r="O1" s="91"/>
      <c r="P1" s="91"/>
    </row>
    <row r="2" spans="1:16" ht="43.95" customHeight="1" x14ac:dyDescent="0.3">
      <c r="A2" s="25" t="s">
        <v>31</v>
      </c>
      <c r="B2" s="25" t="s">
        <v>27</v>
      </c>
      <c r="C2" s="25" t="s">
        <v>34</v>
      </c>
      <c r="D2" s="25" t="s">
        <v>35</v>
      </c>
      <c r="E2" s="25" t="s">
        <v>36</v>
      </c>
      <c r="J2" s="19" t="s">
        <v>1</v>
      </c>
      <c r="K2" s="16" t="s">
        <v>21</v>
      </c>
      <c r="L2" s="16" t="s">
        <v>32</v>
      </c>
      <c r="N2" s="19" t="s">
        <v>1</v>
      </c>
      <c r="O2" s="16" t="s">
        <v>22</v>
      </c>
      <c r="P2" s="20" t="s">
        <v>33</v>
      </c>
    </row>
    <row r="3" spans="1:16" x14ac:dyDescent="0.3">
      <c r="A3" s="23" t="s">
        <v>2</v>
      </c>
      <c r="B3" s="22"/>
      <c r="C3" s="22"/>
      <c r="D3" s="22"/>
      <c r="E3" s="22"/>
      <c r="J3" s="21" t="s">
        <v>2</v>
      </c>
      <c r="K3" s="14">
        <v>585</v>
      </c>
      <c r="L3" s="22"/>
      <c r="N3" s="21" t="s">
        <v>2</v>
      </c>
      <c r="O3" s="14">
        <v>11704</v>
      </c>
      <c r="P3" s="22"/>
    </row>
    <row r="4" spans="1:16" x14ac:dyDescent="0.3">
      <c r="A4" s="23" t="s">
        <v>3</v>
      </c>
      <c r="B4" s="24">
        <v>8.061953931691819E-2</v>
      </c>
      <c r="C4" s="24">
        <v>-2.6116992895054619E-2</v>
      </c>
      <c r="D4" s="24">
        <v>-2.4265208475734792E-2</v>
      </c>
      <c r="E4" s="24">
        <v>2.3931623931623933E-2</v>
      </c>
      <c r="J4" s="21" t="s">
        <v>3</v>
      </c>
      <c r="K4" s="14">
        <v>599</v>
      </c>
      <c r="L4" s="22">
        <v>2.3931623931623933E-2</v>
      </c>
      <c r="N4" s="21" t="s">
        <v>3</v>
      </c>
      <c r="O4" s="14">
        <v>11420</v>
      </c>
      <c r="P4" s="22">
        <v>-2.4265208475734792E-2</v>
      </c>
    </row>
    <row r="5" spans="1:16" x14ac:dyDescent="0.3">
      <c r="A5" s="23" t="s">
        <v>4</v>
      </c>
      <c r="B5" s="24">
        <v>0.30466740169055495</v>
      </c>
      <c r="C5" s="24">
        <v>4.4810980708786294E-2</v>
      </c>
      <c r="D5" s="24">
        <v>-9.6672504378283716E-2</v>
      </c>
      <c r="E5" s="24">
        <v>1.0350584307178632</v>
      </c>
      <c r="J5" s="21" t="s">
        <v>4</v>
      </c>
      <c r="K5" s="14">
        <v>1219</v>
      </c>
      <c r="L5" s="22">
        <v>1.0350584307178632</v>
      </c>
      <c r="N5" s="21" t="s">
        <v>4</v>
      </c>
      <c r="O5" s="14">
        <v>10316</v>
      </c>
      <c r="P5" s="22">
        <v>-9.6672504378283716E-2</v>
      </c>
    </row>
    <row r="6" spans="1:16" x14ac:dyDescent="0.3">
      <c r="A6" s="23" t="s">
        <v>5</v>
      </c>
      <c r="B6" s="24">
        <v>0.49971830985915494</v>
      </c>
      <c r="C6" s="24">
        <v>7.9071564595810453E-2</v>
      </c>
      <c r="D6" s="24">
        <v>-6.9309810003877467E-2</v>
      </c>
      <c r="E6" s="24">
        <v>1.1189499589827727</v>
      </c>
      <c r="J6" s="21" t="s">
        <v>5</v>
      </c>
      <c r="K6" s="14">
        <v>2583</v>
      </c>
      <c r="L6" s="22">
        <v>1.1189499589827727</v>
      </c>
      <c r="N6" s="21" t="s">
        <v>5</v>
      </c>
      <c r="O6" s="14">
        <v>9601</v>
      </c>
      <c r="P6" s="22">
        <v>-6.9309810003877467E-2</v>
      </c>
    </row>
    <row r="7" spans="1:16" x14ac:dyDescent="0.3">
      <c r="A7" s="23" t="s">
        <v>6</v>
      </c>
      <c r="B7" s="24">
        <v>0.45848985725018782</v>
      </c>
      <c r="C7" s="24">
        <v>0.11865057036165533</v>
      </c>
      <c r="D7" s="24">
        <v>1.192792417456515</v>
      </c>
      <c r="E7" s="24">
        <v>0.81726674409601241</v>
      </c>
      <c r="J7" s="21" t="s">
        <v>6</v>
      </c>
      <c r="K7" s="14">
        <v>4694</v>
      </c>
      <c r="L7" s="22">
        <v>0.81726674409601241</v>
      </c>
      <c r="N7" s="21" t="s">
        <v>6</v>
      </c>
      <c r="O7" s="14">
        <v>21053</v>
      </c>
      <c r="P7" s="22">
        <v>1.192792417456515</v>
      </c>
    </row>
    <row r="8" spans="1:16" x14ac:dyDescent="0.3">
      <c r="A8" s="23" t="s">
        <v>7</v>
      </c>
      <c r="B8" s="24">
        <v>-0.23245331616226658</v>
      </c>
      <c r="C8" s="24">
        <v>-3.6513706930059217E-2</v>
      </c>
      <c r="D8" s="24">
        <v>-2.374958438227331E-4</v>
      </c>
      <c r="E8" s="24">
        <v>-0.48636557307200684</v>
      </c>
      <c r="J8" s="21" t="s">
        <v>7</v>
      </c>
      <c r="K8" s="14">
        <v>2411</v>
      </c>
      <c r="L8" s="22">
        <v>-0.48636557307200684</v>
      </c>
      <c r="N8" s="21" t="s">
        <v>7</v>
      </c>
      <c r="O8" s="14">
        <v>21048</v>
      </c>
      <c r="P8" s="22">
        <v>-2.374958438227331E-4</v>
      </c>
    </row>
    <row r="9" spans="1:16" x14ac:dyDescent="0.3">
      <c r="A9" s="23" t="s">
        <v>8</v>
      </c>
      <c r="B9" s="24">
        <v>0.55268456375838926</v>
      </c>
      <c r="C9" s="24">
        <v>3.4931181775035597E-2</v>
      </c>
      <c r="D9" s="24">
        <v>-7.0790573926263782E-3</v>
      </c>
      <c r="E9" s="24">
        <v>0.58689340522604727</v>
      </c>
      <c r="J9" s="21" t="s">
        <v>8</v>
      </c>
      <c r="K9" s="14">
        <v>3826</v>
      </c>
      <c r="L9" s="22">
        <v>0.58689340522604727</v>
      </c>
      <c r="N9" s="21" t="s">
        <v>8</v>
      </c>
      <c r="O9" s="14">
        <v>20899</v>
      </c>
      <c r="P9" s="22">
        <v>-7.0790573926263782E-3</v>
      </c>
    </row>
    <row r="10" spans="1:16" x14ac:dyDescent="0.3">
      <c r="A10" s="23" t="s">
        <v>9</v>
      </c>
      <c r="B10" s="24">
        <v>0.68921547438945319</v>
      </c>
      <c r="C10" s="24">
        <v>4.6546821975603043E-3</v>
      </c>
      <c r="D10" s="24">
        <v>-4.9332503947557296E-2</v>
      </c>
      <c r="E10" s="24">
        <v>1.1450601150026136</v>
      </c>
      <c r="J10" s="21" t="s">
        <v>9</v>
      </c>
      <c r="K10" s="14">
        <v>8207</v>
      </c>
      <c r="L10" s="22">
        <v>1.1450601150026136</v>
      </c>
      <c r="N10" s="21" t="s">
        <v>9</v>
      </c>
      <c r="O10" s="14">
        <v>19868</v>
      </c>
      <c r="P10" s="22">
        <v>-4.9332503947557296E-2</v>
      </c>
    </row>
    <row r="11" spans="1:16" x14ac:dyDescent="0.3">
      <c r="A11" s="23" t="s">
        <v>10</v>
      </c>
      <c r="B11" s="24">
        <v>5.6998464687819855E-2</v>
      </c>
      <c r="C11" s="24">
        <v>-0.38683099395184295</v>
      </c>
      <c r="D11" s="24">
        <v>-0.59663780954298373</v>
      </c>
      <c r="E11" s="24">
        <v>-0.27427805531863042</v>
      </c>
      <c r="J11" s="21" t="s">
        <v>10</v>
      </c>
      <c r="K11" s="14">
        <v>5956</v>
      </c>
      <c r="L11" s="22">
        <v>-0.27427805531863042</v>
      </c>
      <c r="N11" s="21" t="s">
        <v>10</v>
      </c>
      <c r="O11" s="14">
        <v>8014</v>
      </c>
      <c r="P11" s="22">
        <v>-0.59663780954298373</v>
      </c>
    </row>
    <row r="12" spans="1:16" x14ac:dyDescent="0.3">
      <c r="A12" s="23" t="s">
        <v>11</v>
      </c>
      <c r="B12" s="24">
        <v>0.89693154996066093</v>
      </c>
      <c r="C12" s="24">
        <v>-0.19187821037742872</v>
      </c>
      <c r="D12" s="24">
        <v>-0.78924382330920884</v>
      </c>
      <c r="E12" s="24">
        <v>2.1712558764271321</v>
      </c>
      <c r="J12" s="21" t="s">
        <v>11</v>
      </c>
      <c r="K12" s="14">
        <v>18888</v>
      </c>
      <c r="L12" s="22">
        <v>2.1712558764271321</v>
      </c>
      <c r="N12" s="21" t="s">
        <v>11</v>
      </c>
      <c r="O12" s="14">
        <v>1689</v>
      </c>
      <c r="P12" s="22">
        <v>-0.78924382330920884</v>
      </c>
    </row>
    <row r="13" spans="1:16" x14ac:dyDescent="0.3">
      <c r="A13" s="23" t="s">
        <v>12</v>
      </c>
      <c r="B13" s="24">
        <v>1.7415052802858693</v>
      </c>
      <c r="C13" s="24">
        <v>-0.20109621850674772</v>
      </c>
      <c r="D13" s="24">
        <v>-12.104795737122558</v>
      </c>
      <c r="E13" s="24">
        <v>2.3394218551461243</v>
      </c>
      <c r="J13" s="21" t="s">
        <v>12</v>
      </c>
      <c r="K13" s="14">
        <v>63075</v>
      </c>
      <c r="L13" s="22">
        <v>2.3394218551461243</v>
      </c>
      <c r="N13" s="21" t="s">
        <v>12</v>
      </c>
      <c r="O13" s="14">
        <v>-18756</v>
      </c>
      <c r="P13" s="22">
        <v>-12.104795737122558</v>
      </c>
    </row>
    <row r="14" spans="1:16" x14ac:dyDescent="0.3">
      <c r="A14" s="23" t="s">
        <v>13</v>
      </c>
      <c r="B14" s="24">
        <v>0.52562058491510233</v>
      </c>
      <c r="C14" s="24">
        <v>5.9383107523782071E-2</v>
      </c>
      <c r="D14" s="24">
        <v>-0.98576455534229046</v>
      </c>
      <c r="E14" s="24">
        <v>0.57269916765755058</v>
      </c>
      <c r="J14" s="21" t="s">
        <v>13</v>
      </c>
      <c r="K14" s="14">
        <v>99198</v>
      </c>
      <c r="L14" s="22">
        <v>0.57269916765755058</v>
      </c>
      <c r="N14" s="21" t="s">
        <v>13</v>
      </c>
      <c r="O14" s="14">
        <v>-267</v>
      </c>
      <c r="P14" s="22">
        <v>-0.98576455534229046</v>
      </c>
    </row>
    <row r="17" spans="10:16" x14ac:dyDescent="0.3">
      <c r="J17" s="19" t="s">
        <v>1</v>
      </c>
      <c r="K17" s="16" t="s">
        <v>23</v>
      </c>
      <c r="L17" s="16" t="s">
        <v>24</v>
      </c>
      <c r="N17" s="19" t="s">
        <v>1</v>
      </c>
      <c r="O17" s="16" t="s">
        <v>25</v>
      </c>
      <c r="P17" s="16" t="s">
        <v>26</v>
      </c>
    </row>
    <row r="18" spans="10:16" x14ac:dyDescent="0.3">
      <c r="J18" s="21" t="s">
        <v>2</v>
      </c>
      <c r="K18" s="14">
        <v>2518</v>
      </c>
      <c r="L18" s="22"/>
      <c r="N18" s="21" t="s">
        <v>2</v>
      </c>
      <c r="O18" s="18">
        <v>35609</v>
      </c>
      <c r="P18" s="22"/>
    </row>
    <row r="19" spans="10:16" x14ac:dyDescent="0.3">
      <c r="J19" s="21" t="s">
        <v>3</v>
      </c>
      <c r="K19" s="14">
        <v>2721</v>
      </c>
      <c r="L19" s="22">
        <v>8.061953931691819E-2</v>
      </c>
      <c r="N19" s="21" t="s">
        <v>3</v>
      </c>
      <c r="O19" s="18">
        <v>34679</v>
      </c>
      <c r="P19" s="22">
        <v>-2.6116992895054619E-2</v>
      </c>
    </row>
    <row r="20" spans="10:16" x14ac:dyDescent="0.3">
      <c r="J20" s="21" t="s">
        <v>4</v>
      </c>
      <c r="K20" s="14">
        <v>3550</v>
      </c>
      <c r="L20" s="22">
        <v>0.30466740169055495</v>
      </c>
      <c r="N20" s="21" t="s">
        <v>4</v>
      </c>
      <c r="O20" s="18">
        <v>36233</v>
      </c>
      <c r="P20" s="22">
        <v>4.4810980708786294E-2</v>
      </c>
    </row>
    <row r="21" spans="10:16" x14ac:dyDescent="0.3">
      <c r="J21" s="21" t="s">
        <v>5</v>
      </c>
      <c r="K21" s="14">
        <v>5324</v>
      </c>
      <c r="L21" s="22">
        <v>0.49971830985915494</v>
      </c>
      <c r="N21" s="21" t="s">
        <v>5</v>
      </c>
      <c r="O21" s="18">
        <v>39098</v>
      </c>
      <c r="P21" s="22">
        <v>7.9071564595810453E-2</v>
      </c>
    </row>
    <row r="22" spans="10:16" x14ac:dyDescent="0.3">
      <c r="J22" s="21" t="s">
        <v>6</v>
      </c>
      <c r="K22" s="14">
        <v>7765</v>
      </c>
      <c r="L22" s="22">
        <v>0.45848985725018782</v>
      </c>
      <c r="N22" s="21" t="s">
        <v>6</v>
      </c>
      <c r="O22" s="18">
        <v>43737</v>
      </c>
      <c r="P22" s="22">
        <v>0.11865057036165533</v>
      </c>
    </row>
    <row r="23" spans="10:16" x14ac:dyDescent="0.3">
      <c r="J23" s="21" t="s">
        <v>7</v>
      </c>
      <c r="K23" s="14">
        <v>5960</v>
      </c>
      <c r="L23" s="22">
        <v>-0.23245331616226658</v>
      </c>
      <c r="N23" s="21" t="s">
        <v>7</v>
      </c>
      <c r="O23" s="18">
        <v>42140</v>
      </c>
      <c r="P23" s="22">
        <v>-3.6513706930059217E-2</v>
      </c>
    </row>
    <row r="24" spans="10:16" x14ac:dyDescent="0.3">
      <c r="J24" s="21" t="s">
        <v>8</v>
      </c>
      <c r="K24" s="14">
        <v>9254</v>
      </c>
      <c r="L24" s="22">
        <v>0.55268456375838926</v>
      </c>
      <c r="N24" s="21" t="s">
        <v>8</v>
      </c>
      <c r="O24" s="18">
        <v>43612</v>
      </c>
      <c r="P24" s="22">
        <v>3.4931181775035597E-2</v>
      </c>
    </row>
    <row r="25" spans="10:16" x14ac:dyDescent="0.3">
      <c r="J25" s="21" t="s">
        <v>9</v>
      </c>
      <c r="K25" s="14">
        <v>15632</v>
      </c>
      <c r="L25" s="22">
        <v>0.68921547438945319</v>
      </c>
      <c r="N25" s="21" t="s">
        <v>9</v>
      </c>
      <c r="O25" s="18">
        <v>43815</v>
      </c>
      <c r="P25" s="22">
        <v>4.6546821975603043E-3</v>
      </c>
    </row>
    <row r="26" spans="10:16" x14ac:dyDescent="0.3">
      <c r="J26" s="21" t="s">
        <v>10</v>
      </c>
      <c r="K26" s="14">
        <v>16523</v>
      </c>
      <c r="L26" s="22">
        <v>5.6998464687819855E-2</v>
      </c>
      <c r="N26" s="21" t="s">
        <v>10</v>
      </c>
      <c r="O26" s="18">
        <v>26866</v>
      </c>
      <c r="P26" s="22">
        <v>-0.38683099395184295</v>
      </c>
    </row>
    <row r="27" spans="10:16" x14ac:dyDescent="0.3">
      <c r="J27" s="21" t="s">
        <v>11</v>
      </c>
      <c r="K27" s="14">
        <v>31343</v>
      </c>
      <c r="L27" s="22">
        <v>0.89693154996066093</v>
      </c>
      <c r="N27" s="21" t="s">
        <v>11</v>
      </c>
      <c r="O27" s="18">
        <v>21711</v>
      </c>
      <c r="P27" s="22">
        <v>-0.19187821037742872</v>
      </c>
    </row>
    <row r="28" spans="10:16" x14ac:dyDescent="0.3">
      <c r="J28" s="21" t="s">
        <v>12</v>
      </c>
      <c r="K28" s="14">
        <v>85927</v>
      </c>
      <c r="L28" s="22">
        <v>1.7415052802858693</v>
      </c>
      <c r="N28" s="21" t="s">
        <v>12</v>
      </c>
      <c r="O28" s="18">
        <v>17345</v>
      </c>
      <c r="P28" s="22">
        <v>-0.20109621850674772</v>
      </c>
    </row>
    <row r="29" spans="10:16" x14ac:dyDescent="0.3">
      <c r="J29" s="21" t="s">
        <v>13</v>
      </c>
      <c r="K29" s="14">
        <v>131092</v>
      </c>
      <c r="L29" s="22">
        <v>0.52562058491510233</v>
      </c>
      <c r="N29" s="21" t="s">
        <v>13</v>
      </c>
      <c r="O29" s="18">
        <v>18375</v>
      </c>
      <c r="P29" s="22">
        <v>5.9383107523782071E-2</v>
      </c>
    </row>
    <row r="31" spans="10:16" x14ac:dyDescent="0.3">
      <c r="M31" s="16" t="s">
        <v>27</v>
      </c>
      <c r="N31" s="16" t="s">
        <v>28</v>
      </c>
      <c r="O31" s="16" t="s">
        <v>29</v>
      </c>
      <c r="P31" s="20" t="s">
        <v>30</v>
      </c>
    </row>
    <row r="32" spans="10:16" x14ac:dyDescent="0.3">
      <c r="M32" s="22"/>
      <c r="N32" s="22"/>
      <c r="O32" s="22"/>
      <c r="P32" s="22"/>
    </row>
    <row r="33" spans="12:16" x14ac:dyDescent="0.3">
      <c r="M33" s="22">
        <v>8.061953931691819E-2</v>
      </c>
      <c r="N33" s="22">
        <v>2.3931623931623933E-2</v>
      </c>
      <c r="O33" s="22">
        <v>-2.6116992895054619E-2</v>
      </c>
      <c r="P33" s="22">
        <v>-2.4265208475734792E-2</v>
      </c>
    </row>
    <row r="34" spans="12:16" x14ac:dyDescent="0.3">
      <c r="M34" s="22">
        <v>0.30466740169055495</v>
      </c>
      <c r="N34" s="22">
        <v>1.0350584307178632</v>
      </c>
      <c r="O34" s="22">
        <v>4.4810980708786294E-2</v>
      </c>
      <c r="P34" s="22">
        <v>-9.6672504378283716E-2</v>
      </c>
    </row>
    <row r="35" spans="12:16" x14ac:dyDescent="0.3">
      <c r="M35" s="22">
        <v>0.49971830985915494</v>
      </c>
      <c r="N35" s="22">
        <v>1.1189499589827727</v>
      </c>
      <c r="O35" s="22">
        <v>7.9071564595810453E-2</v>
      </c>
      <c r="P35" s="22">
        <v>-6.9309810003877467E-2</v>
      </c>
    </row>
    <row r="36" spans="12:16" x14ac:dyDescent="0.3">
      <c r="L36" s="21" t="s">
        <v>6</v>
      </c>
      <c r="M36" s="22">
        <v>0.45848985725018782</v>
      </c>
      <c r="N36" s="22">
        <v>0.81726674409601241</v>
      </c>
      <c r="O36" s="22">
        <v>0.11865057036165533</v>
      </c>
      <c r="P36" s="22">
        <v>1.192792417456515</v>
      </c>
    </row>
    <row r="37" spans="12:16" x14ac:dyDescent="0.3">
      <c r="L37" s="21" t="s">
        <v>7</v>
      </c>
      <c r="M37" s="22">
        <v>-0.23245331616226658</v>
      </c>
      <c r="N37" s="22">
        <v>-0.48636557307200684</v>
      </c>
      <c r="O37" s="22">
        <v>-3.6513706930059217E-2</v>
      </c>
      <c r="P37" s="22">
        <v>-2.374958438227331E-4</v>
      </c>
    </row>
    <row r="38" spans="12:16" x14ac:dyDescent="0.3">
      <c r="L38" s="21" t="s">
        <v>8</v>
      </c>
      <c r="M38" s="22">
        <v>0.55268456375838926</v>
      </c>
      <c r="N38" s="22">
        <v>0.58689340522604727</v>
      </c>
      <c r="O38" s="22">
        <v>3.4931181775035597E-2</v>
      </c>
      <c r="P38" s="22">
        <v>-7.0790573926263782E-3</v>
      </c>
    </row>
    <row r="39" spans="12:16" x14ac:dyDescent="0.3">
      <c r="L39" s="21" t="s">
        <v>9</v>
      </c>
      <c r="M39" s="22">
        <v>0.68921547438945319</v>
      </c>
      <c r="N39" s="22">
        <v>1.1450601150026136</v>
      </c>
      <c r="O39" s="22">
        <v>4.6546821975603043E-3</v>
      </c>
      <c r="P39" s="22">
        <v>-4.9332503947557296E-2</v>
      </c>
    </row>
    <row r="40" spans="12:16" x14ac:dyDescent="0.3">
      <c r="L40" s="21" t="s">
        <v>10</v>
      </c>
      <c r="M40" s="22">
        <v>5.6998464687819855E-2</v>
      </c>
      <c r="N40" s="22">
        <v>-0.27427805531863042</v>
      </c>
      <c r="O40" s="22">
        <v>-0.38683099395184295</v>
      </c>
      <c r="P40" s="22">
        <v>-0.59663780954298373</v>
      </c>
    </row>
    <row r="41" spans="12:16" x14ac:dyDescent="0.3">
      <c r="L41" s="21" t="s">
        <v>11</v>
      </c>
      <c r="M41" s="22">
        <v>0.89693154996066093</v>
      </c>
      <c r="N41" s="22">
        <v>2.1712558764271321</v>
      </c>
      <c r="O41" s="22">
        <v>-0.19187821037742872</v>
      </c>
      <c r="P41" s="22">
        <v>-0.78924382330920884</v>
      </c>
    </row>
    <row r="42" spans="12:16" x14ac:dyDescent="0.3">
      <c r="L42" s="21" t="s">
        <v>12</v>
      </c>
      <c r="M42" s="22">
        <v>1.7415052802858693</v>
      </c>
      <c r="N42" s="22">
        <v>2.3394218551461243</v>
      </c>
      <c r="O42" s="22">
        <v>-0.20109621850674772</v>
      </c>
      <c r="P42" s="22">
        <v>-12.104795737122558</v>
      </c>
    </row>
    <row r="43" spans="12:16" x14ac:dyDescent="0.3">
      <c r="L43" s="21" t="s">
        <v>13</v>
      </c>
      <c r="M43" s="22">
        <v>0.52562058491510233</v>
      </c>
      <c r="N43" s="22">
        <v>0.57269916765755058</v>
      </c>
      <c r="O43" s="22">
        <v>5.9383107523782071E-2</v>
      </c>
      <c r="P43" s="22">
        <v>-0.98576455534229046</v>
      </c>
    </row>
  </sheetData>
  <mergeCells count="2">
    <mergeCell ref="J1:L1"/>
    <mergeCell ref="N1:P1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F4B3-1F1F-4E48-806E-B11D7426E1B3}">
  <dimension ref="A1:H16"/>
  <sheetViews>
    <sheetView workbookViewId="0">
      <selection activeCell="B19" sqref="B19"/>
    </sheetView>
  </sheetViews>
  <sheetFormatPr defaultRowHeight="14.4" x14ac:dyDescent="0.3"/>
  <cols>
    <col min="1" max="1" width="10.6640625" customWidth="1"/>
    <col min="2" max="2" width="17.109375" customWidth="1"/>
    <col min="3" max="3" width="23.5546875" customWidth="1"/>
    <col min="4" max="4" width="15.6640625" customWidth="1"/>
    <col min="5" max="5" width="16.77734375" customWidth="1"/>
    <col min="6" max="6" width="17.88671875" customWidth="1"/>
    <col min="7" max="7" width="23.5546875" customWidth="1"/>
    <col min="8" max="8" width="24.33203125" customWidth="1"/>
  </cols>
  <sheetData>
    <row r="1" spans="1:8" ht="17.399999999999999" x14ac:dyDescent="0.3">
      <c r="A1" s="92" t="s">
        <v>46</v>
      </c>
      <c r="B1" s="92"/>
      <c r="C1" s="92"/>
      <c r="D1" s="92"/>
      <c r="E1" s="92"/>
      <c r="F1" s="92"/>
      <c r="G1" s="92"/>
      <c r="H1" s="92"/>
    </row>
    <row r="3" spans="1:8" x14ac:dyDescent="0.3">
      <c r="A3" s="45" t="s">
        <v>31</v>
      </c>
      <c r="B3" s="45" t="s">
        <v>37</v>
      </c>
      <c r="C3" s="45" t="s">
        <v>38</v>
      </c>
      <c r="D3" s="45" t="s">
        <v>39</v>
      </c>
      <c r="E3" s="45" t="s">
        <v>40</v>
      </c>
      <c r="F3" s="45" t="s">
        <v>41</v>
      </c>
      <c r="G3" s="45" t="s">
        <v>42</v>
      </c>
      <c r="H3" s="45" t="s">
        <v>43</v>
      </c>
    </row>
    <row r="4" spans="1:8" x14ac:dyDescent="0.3">
      <c r="A4" s="45">
        <v>2014</v>
      </c>
      <c r="B4" s="39">
        <v>585</v>
      </c>
      <c r="C4" s="39">
        <v>2518</v>
      </c>
      <c r="D4" s="40">
        <v>11704</v>
      </c>
      <c r="E4" s="40">
        <v>35609</v>
      </c>
      <c r="F4" s="32" t="s">
        <v>44</v>
      </c>
      <c r="G4" s="32" t="s">
        <v>44</v>
      </c>
      <c r="H4" s="43">
        <f t="shared" ref="H4:H15" si="0">IF(D4&lt;&gt;0,B4/D4,"N/A")</f>
        <v>4.9982911825017087E-2</v>
      </c>
    </row>
    <row r="5" spans="1:8" x14ac:dyDescent="0.3">
      <c r="A5" s="45">
        <v>2015</v>
      </c>
      <c r="B5" s="39">
        <v>599</v>
      </c>
      <c r="C5" s="39">
        <v>2721</v>
      </c>
      <c r="D5" s="40">
        <v>11420</v>
      </c>
      <c r="E5" s="40">
        <v>34679</v>
      </c>
      <c r="F5" s="41">
        <f t="shared" ref="F5:F15" si="1">(B5-B4)/ABS(B4)</f>
        <v>2.3931623931623933E-2</v>
      </c>
      <c r="G5" s="37">
        <f t="shared" ref="G5:G15" si="2">(D5-D4)/ABS(D4)</f>
        <v>-2.4265208475734792E-2</v>
      </c>
      <c r="H5" s="43">
        <f t="shared" si="0"/>
        <v>5.2451838879159371E-2</v>
      </c>
    </row>
    <row r="6" spans="1:8" x14ac:dyDescent="0.3">
      <c r="A6" s="45">
        <v>2016</v>
      </c>
      <c r="B6" s="39">
        <v>1219</v>
      </c>
      <c r="C6" s="39">
        <v>3550</v>
      </c>
      <c r="D6" s="40">
        <v>10316</v>
      </c>
      <c r="E6" s="40">
        <v>36233</v>
      </c>
      <c r="F6" s="41">
        <f t="shared" si="1"/>
        <v>1.0350584307178632</v>
      </c>
      <c r="G6" s="37">
        <f t="shared" si="2"/>
        <v>-9.6672504378283716E-2</v>
      </c>
      <c r="H6" s="43">
        <f t="shared" si="0"/>
        <v>0.11816595579682047</v>
      </c>
    </row>
    <row r="7" spans="1:8" x14ac:dyDescent="0.3">
      <c r="A7" s="45">
        <v>2017</v>
      </c>
      <c r="B7" s="39">
        <v>2583</v>
      </c>
      <c r="C7" s="39">
        <v>5324</v>
      </c>
      <c r="D7" s="40">
        <v>9601</v>
      </c>
      <c r="E7" s="40">
        <v>39098</v>
      </c>
      <c r="F7" s="41">
        <f t="shared" si="1"/>
        <v>1.1189499589827727</v>
      </c>
      <c r="G7" s="37">
        <f t="shared" si="2"/>
        <v>-6.9309810003877467E-2</v>
      </c>
      <c r="H7" s="43">
        <f t="shared" si="0"/>
        <v>0.2690344755754609</v>
      </c>
    </row>
    <row r="8" spans="1:8" x14ac:dyDescent="0.3">
      <c r="A8" s="45">
        <v>2018</v>
      </c>
      <c r="B8" s="39">
        <v>4694</v>
      </c>
      <c r="C8" s="39">
        <v>7765</v>
      </c>
      <c r="D8" s="40">
        <v>21053</v>
      </c>
      <c r="E8" s="40">
        <v>43737</v>
      </c>
      <c r="F8" s="41">
        <f t="shared" si="1"/>
        <v>0.81726674409601241</v>
      </c>
      <c r="G8" s="42">
        <f t="shared" si="2"/>
        <v>1.192792417456515</v>
      </c>
      <c r="H8" s="43">
        <f t="shared" si="0"/>
        <v>0.22296109818078183</v>
      </c>
    </row>
    <row r="9" spans="1:8" x14ac:dyDescent="0.3">
      <c r="A9" s="45">
        <v>2019</v>
      </c>
      <c r="B9" s="39">
        <v>2411</v>
      </c>
      <c r="C9" s="39">
        <v>5960</v>
      </c>
      <c r="D9" s="40">
        <v>21048</v>
      </c>
      <c r="E9" s="40">
        <v>42140</v>
      </c>
      <c r="F9" s="38">
        <f t="shared" si="1"/>
        <v>-0.48636557307200684</v>
      </c>
      <c r="G9" s="37">
        <f t="shared" si="2"/>
        <v>-2.374958438227331E-4</v>
      </c>
      <c r="H9" s="43">
        <f t="shared" si="0"/>
        <v>0.1145477004941087</v>
      </c>
    </row>
    <row r="10" spans="1:8" x14ac:dyDescent="0.3">
      <c r="A10" s="45">
        <v>2020</v>
      </c>
      <c r="B10" s="39">
        <v>3826</v>
      </c>
      <c r="C10" s="39">
        <v>9254</v>
      </c>
      <c r="D10" s="40">
        <v>20899</v>
      </c>
      <c r="E10" s="40">
        <v>43612</v>
      </c>
      <c r="F10" s="41">
        <f t="shared" si="1"/>
        <v>0.58689340522604727</v>
      </c>
      <c r="G10" s="37">
        <f t="shared" si="2"/>
        <v>-7.0790573926263782E-3</v>
      </c>
      <c r="H10" s="43">
        <f t="shared" si="0"/>
        <v>0.18307096033303027</v>
      </c>
    </row>
    <row r="11" spans="1:8" x14ac:dyDescent="0.3">
      <c r="A11" s="45">
        <v>2021</v>
      </c>
      <c r="B11" s="39">
        <v>8207</v>
      </c>
      <c r="C11" s="39">
        <v>15632</v>
      </c>
      <c r="D11" s="40">
        <v>19868</v>
      </c>
      <c r="E11" s="40">
        <v>43815</v>
      </c>
      <c r="F11" s="41">
        <f t="shared" si="1"/>
        <v>1.1450601150026136</v>
      </c>
      <c r="G11" s="37">
        <f t="shared" si="2"/>
        <v>-4.9332503947557296E-2</v>
      </c>
      <c r="H11" s="43">
        <f t="shared" si="0"/>
        <v>0.413076303603785</v>
      </c>
    </row>
    <row r="12" spans="1:8" x14ac:dyDescent="0.3">
      <c r="A12" s="45">
        <v>2022</v>
      </c>
      <c r="B12" s="39">
        <v>5956</v>
      </c>
      <c r="C12" s="39">
        <v>16523</v>
      </c>
      <c r="D12" s="40">
        <v>8014</v>
      </c>
      <c r="E12" s="40">
        <v>26866</v>
      </c>
      <c r="F12" s="38">
        <f t="shared" si="1"/>
        <v>-0.27427805531863042</v>
      </c>
      <c r="G12" s="37">
        <f t="shared" si="2"/>
        <v>-0.59663780954298373</v>
      </c>
      <c r="H12" s="43">
        <f t="shared" si="0"/>
        <v>0.74319940104816573</v>
      </c>
    </row>
    <row r="13" spans="1:8" x14ac:dyDescent="0.3">
      <c r="A13" s="45">
        <v>2023</v>
      </c>
      <c r="B13" s="39">
        <v>18888</v>
      </c>
      <c r="C13" s="39">
        <v>31343</v>
      </c>
      <c r="D13" s="40">
        <v>1689</v>
      </c>
      <c r="E13" s="40">
        <v>21711</v>
      </c>
      <c r="F13" s="41">
        <f t="shared" si="1"/>
        <v>2.1712558764271321</v>
      </c>
      <c r="G13" s="37">
        <f t="shared" si="2"/>
        <v>-0.78924382330920884</v>
      </c>
      <c r="H13" s="43">
        <f t="shared" si="0"/>
        <v>11.182948490230906</v>
      </c>
    </row>
    <row r="14" spans="1:8" x14ac:dyDescent="0.3">
      <c r="A14" s="45">
        <v>2024</v>
      </c>
      <c r="B14" s="39">
        <v>63075</v>
      </c>
      <c r="C14" s="39">
        <v>85927</v>
      </c>
      <c r="D14" s="36">
        <v>-18756</v>
      </c>
      <c r="E14" s="40">
        <v>17345</v>
      </c>
      <c r="F14" s="41">
        <f t="shared" si="1"/>
        <v>2.3394218551461243</v>
      </c>
      <c r="G14" s="37">
        <f t="shared" si="2"/>
        <v>-12.104795737122558</v>
      </c>
      <c r="H14" s="44">
        <f t="shared" si="0"/>
        <v>-3.3629238643634038</v>
      </c>
    </row>
    <row r="15" spans="1:8" x14ac:dyDescent="0.3">
      <c r="A15" s="45">
        <v>2025</v>
      </c>
      <c r="B15" s="39">
        <v>99198</v>
      </c>
      <c r="C15" s="39">
        <v>131092</v>
      </c>
      <c r="D15" s="36">
        <v>-267</v>
      </c>
      <c r="E15" s="40">
        <v>18375</v>
      </c>
      <c r="F15" s="41">
        <f t="shared" si="1"/>
        <v>0.57269916765755058</v>
      </c>
      <c r="G15" s="42">
        <f t="shared" si="2"/>
        <v>0.98576455534229046</v>
      </c>
      <c r="H15" s="44">
        <f t="shared" si="0"/>
        <v>-371.52808988764048</v>
      </c>
    </row>
    <row r="16" spans="1:8" x14ac:dyDescent="0.3">
      <c r="A16" s="33" t="s">
        <v>45</v>
      </c>
      <c r="B16" s="34">
        <f>SUM(B4:B15)</f>
        <v>211241</v>
      </c>
      <c r="C16" s="34">
        <f>SUM(C4:C15)</f>
        <v>317609</v>
      </c>
      <c r="D16" s="34">
        <f>SUM(D4:D15)</f>
        <v>116589</v>
      </c>
      <c r="E16" s="34">
        <f>SUM(E4:E15)</f>
        <v>403220</v>
      </c>
      <c r="F16" s="35">
        <f>AVERAGE(F5:F15)</f>
        <v>0.82271759534519118</v>
      </c>
      <c r="G16" s="35">
        <f>AVERAGE(G5:G15)</f>
        <v>-1.0508197252016223</v>
      </c>
      <c r="H16" s="33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AA74-1F59-4F7E-8557-E83F201B49CA}">
  <dimension ref="A1:J102"/>
  <sheetViews>
    <sheetView tabSelected="1" topLeftCell="A52" zoomScale="87" zoomScaleNormal="107" workbookViewId="0">
      <selection activeCell="W62" sqref="W62"/>
    </sheetView>
  </sheetViews>
  <sheetFormatPr defaultRowHeight="14.4" x14ac:dyDescent="0.3"/>
  <cols>
    <col min="1" max="1" width="14.109375" customWidth="1"/>
    <col min="2" max="2" width="15.88671875" customWidth="1"/>
    <col min="3" max="3" width="11" customWidth="1"/>
    <col min="23" max="23" width="8.44140625" customWidth="1"/>
  </cols>
  <sheetData>
    <row r="1" spans="1:10" x14ac:dyDescent="0.3">
      <c r="A1" s="93" t="s">
        <v>65</v>
      </c>
      <c r="B1" s="93"/>
      <c r="C1" s="93"/>
      <c r="D1" s="93"/>
      <c r="E1" s="93"/>
      <c r="F1" s="93"/>
      <c r="G1" s="93"/>
      <c r="H1" s="93"/>
      <c r="I1" s="93"/>
      <c r="J1" s="93"/>
    </row>
    <row r="2" spans="1:10" ht="24" x14ac:dyDescent="0.3">
      <c r="A2" s="46" t="s">
        <v>47</v>
      </c>
      <c r="B2" s="46" t="s">
        <v>48</v>
      </c>
      <c r="C2" s="46" t="s">
        <v>49</v>
      </c>
      <c r="D2" s="46" t="s">
        <v>50</v>
      </c>
      <c r="E2" s="46" t="s">
        <v>51</v>
      </c>
      <c r="F2" s="46" t="s">
        <v>52</v>
      </c>
      <c r="G2" s="46" t="s">
        <v>53</v>
      </c>
      <c r="H2" s="46" t="s">
        <v>54</v>
      </c>
      <c r="I2" s="46" t="s">
        <v>55</v>
      </c>
      <c r="J2" s="46" t="s">
        <v>56</v>
      </c>
    </row>
    <row r="3" spans="1:10" x14ac:dyDescent="0.3">
      <c r="A3" s="47" t="s">
        <v>57</v>
      </c>
      <c r="B3" s="48" t="s">
        <v>58</v>
      </c>
      <c r="C3" s="48">
        <v>11</v>
      </c>
      <c r="D3" s="49">
        <f>'Summary Dashboard'!B4</f>
        <v>585</v>
      </c>
      <c r="E3" s="57">
        <f>'Summary Dashboard'!B15</f>
        <v>99198</v>
      </c>
      <c r="F3" s="50">
        <f>IFERROR((E3/D3)^(1/C3)-1,"N/A")</f>
        <v>0.5946593133516298</v>
      </c>
      <c r="G3" s="49">
        <f>'Summary Dashboard'!D4</f>
        <v>11704</v>
      </c>
      <c r="H3" s="49">
        <f>'Summary Dashboard'!D15</f>
        <v>-267</v>
      </c>
      <c r="I3" s="51">
        <f>IFERROR((H3/G3)^(1/C3)-1,"N/A")</f>
        <v>-1.7091585754390062</v>
      </c>
      <c r="J3" s="48" t="str">
        <f>IFERROR(IF(ISNUMBER(F3),IF(ISNUMBER(I3),IF(F3&gt;I3,"✅ NVIDIA","✅ Intel"),"✅ NVIDIA"),"✅ Intel"),"-")</f>
        <v>✅ NVIDIA</v>
      </c>
    </row>
    <row r="4" spans="1:10" x14ac:dyDescent="0.3">
      <c r="A4" s="52" t="s">
        <v>59</v>
      </c>
      <c r="B4" s="53" t="s">
        <v>60</v>
      </c>
      <c r="C4" s="53">
        <v>5</v>
      </c>
      <c r="D4" s="54">
        <f>'Summary Dashboard'!B5</f>
        <v>599</v>
      </c>
      <c r="E4" s="54">
        <f>'Summary Dashboard'!B9</f>
        <v>2411</v>
      </c>
      <c r="F4" s="55">
        <f>IFERROR((E4/D4)^(1/C4)-1,"N/A")</f>
        <v>0.32115592745668975</v>
      </c>
      <c r="G4" s="54">
        <f>'Summary Dashboard'!D4</f>
        <v>11704</v>
      </c>
      <c r="H4" s="54">
        <f>'Summary Dashboard'!D9</f>
        <v>21048</v>
      </c>
      <c r="I4" s="56">
        <f>IFERROR((H4/G4)^(1/C4)-1,"N/A")</f>
        <v>0.12454102654175014</v>
      </c>
      <c r="J4" s="53" t="str">
        <f>IFERROR(IF(ISNUMBER(F4),IF(ISNUMBER(I4),IF(F4&gt;I4,"✅ NVIDIA","✅ Intel"),"✅ NVIDIA"),"✅ Intel"),"-")</f>
        <v>✅ NVIDIA</v>
      </c>
    </row>
    <row r="5" spans="1:10" x14ac:dyDescent="0.3">
      <c r="A5" s="47" t="s">
        <v>61</v>
      </c>
      <c r="B5" s="48" t="s">
        <v>62</v>
      </c>
      <c r="C5" s="48">
        <v>6</v>
      </c>
      <c r="D5" s="49">
        <f>'Summary Dashboard'!B9</f>
        <v>2411</v>
      </c>
      <c r="E5" s="49">
        <f>'Summary Dashboard'!B15</f>
        <v>99198</v>
      </c>
      <c r="F5" s="50">
        <f>IFERROR((E5/D5)^(1/C5)-1,"N/A")</f>
        <v>0.85802242348521429</v>
      </c>
      <c r="G5" s="49">
        <f>'Summary Dashboard'!D9</f>
        <v>21048</v>
      </c>
      <c r="H5" s="49">
        <f>'Summary Dashboard'!D15</f>
        <v>-267</v>
      </c>
      <c r="I5" s="51" t="str">
        <f>IFERROR((H5/G5)^(1/C5)-1,"N/A")</f>
        <v>N/A</v>
      </c>
      <c r="J5" s="48" t="str">
        <f>IFERROR(IF(ISNUMBER(F5),IF(ISNUMBER(I5),IF(F5&gt;I5,"✅ NVIDIA","✅ Intel"),"✅ NVIDIA"),"✅ Intel"),"-")</f>
        <v>✅ NVIDIA</v>
      </c>
    </row>
    <row r="6" spans="1:10" x14ac:dyDescent="0.3">
      <c r="A6" s="52" t="s">
        <v>63</v>
      </c>
      <c r="B6" s="53" t="s">
        <v>64</v>
      </c>
      <c r="C6" s="53">
        <v>4</v>
      </c>
      <c r="D6" s="54">
        <f>'Summary Dashboard'!B11</f>
        <v>8207</v>
      </c>
      <c r="E6" s="54">
        <f>'Summary Dashboard'!B15</f>
        <v>99198</v>
      </c>
      <c r="F6" s="55">
        <f>IFERROR((E6/D6)^(1/C6)-1,"N/A")</f>
        <v>0.86457398557495346</v>
      </c>
      <c r="G6" s="54">
        <f>'Summary Dashboard'!D11</f>
        <v>19868</v>
      </c>
      <c r="H6" s="54">
        <f>'Summary Dashboard'!D15</f>
        <v>-267</v>
      </c>
      <c r="I6" s="56" t="str">
        <f>IFERROR((H6/G6)^(1/C6)-1,"N/A")</f>
        <v>N/A</v>
      </c>
      <c r="J6" s="53" t="str">
        <f>IFERROR(IF(ISNUMBER(F6),IF(ISNUMBER(I6),IF(F6&gt;I6,"✅ NVIDIA","✅ Intel"),"✅ NVIDIA"),"✅ Intel"),"-")</f>
        <v>✅ NVIDIA</v>
      </c>
    </row>
    <row r="11" spans="1:10" x14ac:dyDescent="0.3">
      <c r="A11" s="93" t="s">
        <v>75</v>
      </c>
      <c r="B11" s="93"/>
      <c r="C11" s="93"/>
      <c r="D11" s="93"/>
      <c r="E11" s="93"/>
      <c r="F11" s="93"/>
      <c r="G11" s="93"/>
      <c r="H11" s="93"/>
      <c r="I11" s="93"/>
      <c r="J11" s="93"/>
    </row>
    <row r="12" spans="1:10" ht="24" x14ac:dyDescent="0.3">
      <c r="A12" s="46" t="s">
        <v>31</v>
      </c>
      <c r="B12" s="46" t="s">
        <v>66</v>
      </c>
      <c r="C12" s="46" t="s">
        <v>67</v>
      </c>
      <c r="D12" s="46" t="s">
        <v>68</v>
      </c>
      <c r="E12" s="46" t="s">
        <v>69</v>
      </c>
      <c r="F12" s="46" t="s">
        <v>70</v>
      </c>
      <c r="G12" s="46" t="s">
        <v>71</v>
      </c>
      <c r="H12" s="46" t="s">
        <v>72</v>
      </c>
      <c r="I12" s="46" t="s">
        <v>73</v>
      </c>
      <c r="J12" s="46" t="s">
        <v>74</v>
      </c>
    </row>
    <row r="13" spans="1:10" x14ac:dyDescent="0.3">
      <c r="A13" s="48">
        <v>2014</v>
      </c>
      <c r="B13" s="6">
        <v>585</v>
      </c>
      <c r="C13" s="6">
        <v>11704</v>
      </c>
      <c r="D13" s="64">
        <v>2518</v>
      </c>
      <c r="E13" s="65">
        <v>35609</v>
      </c>
      <c r="F13" s="58">
        <f t="shared" ref="F13:F24" si="0">IFERROR(B13/$B$13*100,"-")</f>
        <v>100</v>
      </c>
      <c r="G13" s="59">
        <f t="shared" ref="G13:G24" si="1">IFERROR(C13/$C$13*100,"-")</f>
        <v>100</v>
      </c>
      <c r="H13" s="60">
        <f t="shared" ref="H13:H24" si="2">IFERROR(D13/$D$13*100,"-")</f>
        <v>100</v>
      </c>
      <c r="I13" s="60">
        <f t="shared" ref="I13:I24" si="3">IFERROR(E13/$E$13*100,"-")</f>
        <v>100</v>
      </c>
      <c r="J13" s="60">
        <f t="shared" ref="J13:J24" si="4">IFERROR(F13-G13,"-")</f>
        <v>0</v>
      </c>
    </row>
    <row r="14" spans="1:10" x14ac:dyDescent="0.3">
      <c r="A14" s="53">
        <v>2015</v>
      </c>
      <c r="B14" s="6">
        <v>599</v>
      </c>
      <c r="C14" s="6">
        <v>11420</v>
      </c>
      <c r="D14" s="64">
        <v>2721</v>
      </c>
      <c r="E14" s="65">
        <v>34679</v>
      </c>
      <c r="F14" s="61">
        <f t="shared" si="0"/>
        <v>102.39316239316238</v>
      </c>
      <c r="G14" s="62">
        <f t="shared" si="1"/>
        <v>97.573479152426529</v>
      </c>
      <c r="H14" s="63">
        <f t="shared" si="2"/>
        <v>108.06195393169182</v>
      </c>
      <c r="I14" s="63">
        <f t="shared" si="3"/>
        <v>97.388300710494534</v>
      </c>
      <c r="J14" s="63">
        <f t="shared" si="4"/>
        <v>4.8196832407358556</v>
      </c>
    </row>
    <row r="15" spans="1:10" x14ac:dyDescent="0.3">
      <c r="A15" s="48">
        <v>2016</v>
      </c>
      <c r="B15" s="6">
        <v>1219</v>
      </c>
      <c r="C15" s="6">
        <v>10316</v>
      </c>
      <c r="D15" s="64">
        <v>3550</v>
      </c>
      <c r="E15" s="65">
        <v>36233</v>
      </c>
      <c r="F15" s="58">
        <f t="shared" si="0"/>
        <v>208.37606837606839</v>
      </c>
      <c r="G15" s="59">
        <f t="shared" si="1"/>
        <v>88.140806561859193</v>
      </c>
      <c r="H15" s="60">
        <f t="shared" si="2"/>
        <v>140.98490865766482</v>
      </c>
      <c r="I15" s="60">
        <f t="shared" si="3"/>
        <v>101.75236597489399</v>
      </c>
      <c r="J15" s="60">
        <f t="shared" si="4"/>
        <v>120.2352618142092</v>
      </c>
    </row>
    <row r="16" spans="1:10" x14ac:dyDescent="0.3">
      <c r="A16" s="53">
        <v>2017</v>
      </c>
      <c r="B16" s="6">
        <v>2583</v>
      </c>
      <c r="C16" s="6">
        <v>9601</v>
      </c>
      <c r="D16" s="64">
        <v>5324</v>
      </c>
      <c r="E16" s="65">
        <v>39098</v>
      </c>
      <c r="F16" s="61">
        <f t="shared" si="0"/>
        <v>441.53846153846155</v>
      </c>
      <c r="G16" s="62">
        <f t="shared" si="1"/>
        <v>82.031784005468211</v>
      </c>
      <c r="H16" s="63">
        <f t="shared" si="2"/>
        <v>211.4376489277204</v>
      </c>
      <c r="I16" s="63">
        <f t="shared" si="3"/>
        <v>109.79808475385435</v>
      </c>
      <c r="J16" s="63">
        <f t="shared" si="4"/>
        <v>359.50667753299331</v>
      </c>
    </row>
    <row r="17" spans="1:10" x14ac:dyDescent="0.3">
      <c r="A17" s="48">
        <v>2018</v>
      </c>
      <c r="B17" s="6">
        <v>4694</v>
      </c>
      <c r="C17" s="6">
        <v>21053</v>
      </c>
      <c r="D17" s="64">
        <v>7765</v>
      </c>
      <c r="E17" s="65">
        <v>43737</v>
      </c>
      <c r="F17" s="58">
        <f t="shared" si="0"/>
        <v>802.39316239316236</v>
      </c>
      <c r="G17" s="59">
        <f t="shared" si="1"/>
        <v>179.87867395762132</v>
      </c>
      <c r="H17" s="60">
        <f t="shared" si="2"/>
        <v>308.37966640190626</v>
      </c>
      <c r="I17" s="60">
        <f t="shared" si="3"/>
        <v>122.82569013451656</v>
      </c>
      <c r="J17" s="60">
        <f t="shared" si="4"/>
        <v>622.51448843554101</v>
      </c>
    </row>
    <row r="18" spans="1:10" x14ac:dyDescent="0.3">
      <c r="A18" s="53">
        <v>2019</v>
      </c>
      <c r="B18" s="6">
        <v>2411</v>
      </c>
      <c r="C18" s="6">
        <v>21048</v>
      </c>
      <c r="D18" s="64">
        <v>5960</v>
      </c>
      <c r="E18" s="65">
        <v>42140</v>
      </c>
      <c r="F18" s="61">
        <f t="shared" si="0"/>
        <v>412.13675213675208</v>
      </c>
      <c r="G18" s="62">
        <f t="shared" si="1"/>
        <v>179.83595352016403</v>
      </c>
      <c r="H18" s="63">
        <f t="shared" si="2"/>
        <v>236.69579030976965</v>
      </c>
      <c r="I18" s="63">
        <f t="shared" si="3"/>
        <v>118.34086888146255</v>
      </c>
      <c r="J18" s="63">
        <f t="shared" si="4"/>
        <v>232.30079861658805</v>
      </c>
    </row>
    <row r="19" spans="1:10" x14ac:dyDescent="0.3">
      <c r="A19" s="48">
        <v>2020</v>
      </c>
      <c r="B19" s="6">
        <v>3826</v>
      </c>
      <c r="C19" s="6">
        <v>20899</v>
      </c>
      <c r="D19" s="64">
        <v>9254</v>
      </c>
      <c r="E19" s="65">
        <v>43612</v>
      </c>
      <c r="F19" s="58">
        <f t="shared" si="0"/>
        <v>654.017094017094</v>
      </c>
      <c r="G19" s="59">
        <f t="shared" si="1"/>
        <v>178.56288448393713</v>
      </c>
      <c r="H19" s="60">
        <f t="shared" si="2"/>
        <v>367.51389992057187</v>
      </c>
      <c r="I19" s="60">
        <f t="shared" si="3"/>
        <v>122.47465528377657</v>
      </c>
      <c r="J19" s="60">
        <f t="shared" si="4"/>
        <v>475.45420953315687</v>
      </c>
    </row>
    <row r="20" spans="1:10" x14ac:dyDescent="0.3">
      <c r="A20" s="53">
        <v>2021</v>
      </c>
      <c r="B20" s="6">
        <v>8207</v>
      </c>
      <c r="C20" s="6">
        <v>19868</v>
      </c>
      <c r="D20" s="64">
        <v>15632</v>
      </c>
      <c r="E20" s="65">
        <v>43815</v>
      </c>
      <c r="F20" s="61">
        <f t="shared" si="0"/>
        <v>1402.9059829059829</v>
      </c>
      <c r="G20" s="62">
        <f t="shared" si="1"/>
        <v>169.75393028024607</v>
      </c>
      <c r="H20" s="63">
        <f t="shared" si="2"/>
        <v>620.81016679904678</v>
      </c>
      <c r="I20" s="63">
        <f t="shared" si="3"/>
        <v>123.0447358813783</v>
      </c>
      <c r="J20" s="63">
        <f t="shared" si="4"/>
        <v>1233.1520526257368</v>
      </c>
    </row>
    <row r="21" spans="1:10" x14ac:dyDescent="0.3">
      <c r="A21" s="48">
        <v>2022</v>
      </c>
      <c r="B21" s="6">
        <v>5956</v>
      </c>
      <c r="C21" s="6">
        <v>8014</v>
      </c>
      <c r="D21" s="64">
        <v>16523</v>
      </c>
      <c r="E21" s="65">
        <v>26866</v>
      </c>
      <c r="F21" s="58">
        <f t="shared" si="0"/>
        <v>1018.1196581196581</v>
      </c>
      <c r="G21" s="59">
        <f t="shared" si="1"/>
        <v>68.47231715652768</v>
      </c>
      <c r="H21" s="60">
        <f t="shared" si="2"/>
        <v>656.1953931691819</v>
      </c>
      <c r="I21" s="60">
        <f t="shared" si="3"/>
        <v>75.44721839984274</v>
      </c>
      <c r="J21" s="60">
        <f t="shared" si="4"/>
        <v>949.64734096313043</v>
      </c>
    </row>
    <row r="22" spans="1:10" x14ac:dyDescent="0.3">
      <c r="A22" s="53">
        <v>2023</v>
      </c>
      <c r="B22" s="6">
        <v>18888</v>
      </c>
      <c r="C22" s="6">
        <v>1689</v>
      </c>
      <c r="D22" s="64">
        <v>31343</v>
      </c>
      <c r="E22" s="65">
        <v>21711</v>
      </c>
      <c r="F22" s="61">
        <f t="shared" si="0"/>
        <v>3228.7179487179487</v>
      </c>
      <c r="G22" s="62">
        <f t="shared" si="1"/>
        <v>14.430963773069037</v>
      </c>
      <c r="H22" s="63">
        <f t="shared" si="2"/>
        <v>1244.7577442414615</v>
      </c>
      <c r="I22" s="63">
        <f t="shared" si="3"/>
        <v>60.970541155325897</v>
      </c>
      <c r="J22" s="63">
        <f t="shared" si="4"/>
        <v>3214.2869849448798</v>
      </c>
    </row>
    <row r="23" spans="1:10" x14ac:dyDescent="0.3">
      <c r="A23" s="48">
        <v>2024</v>
      </c>
      <c r="B23" s="6">
        <v>63075</v>
      </c>
      <c r="C23" s="6">
        <v>-18756</v>
      </c>
      <c r="D23" s="64">
        <v>85927</v>
      </c>
      <c r="E23" s="65">
        <v>17345</v>
      </c>
      <c r="F23" s="58">
        <f t="shared" si="0"/>
        <v>10782.051282051281</v>
      </c>
      <c r="G23" s="59">
        <f t="shared" si="1"/>
        <v>-160.25290498974709</v>
      </c>
      <c r="H23" s="60">
        <f t="shared" si="2"/>
        <v>3412.5099285146944</v>
      </c>
      <c r="I23" s="60">
        <f t="shared" si="3"/>
        <v>48.709595888679829</v>
      </c>
      <c r="J23" s="60">
        <f t="shared" si="4"/>
        <v>10942.304187041029</v>
      </c>
    </row>
    <row r="24" spans="1:10" x14ac:dyDescent="0.3">
      <c r="A24" s="53">
        <v>2025</v>
      </c>
      <c r="B24" s="7">
        <v>99198</v>
      </c>
      <c r="C24" s="7">
        <v>-267</v>
      </c>
      <c r="D24" s="64">
        <v>131092</v>
      </c>
      <c r="E24" s="65">
        <v>18375</v>
      </c>
      <c r="F24" s="61">
        <f t="shared" si="0"/>
        <v>16956.923076923074</v>
      </c>
      <c r="G24" s="62">
        <f t="shared" si="1"/>
        <v>-2.2812713602187289</v>
      </c>
      <c r="H24" s="63">
        <f t="shared" si="2"/>
        <v>5206.1953931691814</v>
      </c>
      <c r="I24" s="63">
        <f t="shared" si="3"/>
        <v>51.602123058777273</v>
      </c>
      <c r="J24" s="63">
        <f t="shared" si="4"/>
        <v>16959.204348283292</v>
      </c>
    </row>
    <row r="27" spans="1:10" ht="36" customHeight="1" x14ac:dyDescent="0.3">
      <c r="A27" s="94" t="s">
        <v>79</v>
      </c>
      <c r="B27" s="95"/>
      <c r="C27" s="95"/>
      <c r="D27" s="95"/>
      <c r="E27" s="96"/>
    </row>
    <row r="28" spans="1:10" ht="24" x14ac:dyDescent="0.3">
      <c r="A28" s="66" t="s">
        <v>31</v>
      </c>
      <c r="B28" s="66" t="s">
        <v>66</v>
      </c>
      <c r="C28" s="66" t="s">
        <v>67</v>
      </c>
      <c r="D28" s="66" t="s">
        <v>76</v>
      </c>
      <c r="E28" s="66" t="s">
        <v>77</v>
      </c>
    </row>
    <row r="29" spans="1:10" x14ac:dyDescent="0.3">
      <c r="A29" s="67">
        <v>2014</v>
      </c>
      <c r="B29" s="6">
        <v>585</v>
      </c>
      <c r="C29" s="6">
        <v>11704</v>
      </c>
      <c r="D29" s="67" t="s">
        <v>78</v>
      </c>
      <c r="E29" s="67" t="s">
        <v>78</v>
      </c>
    </row>
    <row r="30" spans="1:10" x14ac:dyDescent="0.3">
      <c r="A30" s="69">
        <v>2015</v>
      </c>
      <c r="B30" s="6">
        <v>599</v>
      </c>
      <c r="C30" s="6">
        <v>11420</v>
      </c>
      <c r="D30" s="69" t="s">
        <v>78</v>
      </c>
      <c r="E30" s="69" t="s">
        <v>78</v>
      </c>
    </row>
    <row r="31" spans="1:10" x14ac:dyDescent="0.3">
      <c r="A31" s="67">
        <v>2016</v>
      </c>
      <c r="B31" s="6">
        <v>1219</v>
      </c>
      <c r="C31" s="6">
        <v>10316</v>
      </c>
      <c r="D31" s="68">
        <f>AVERAGE(B29:B31)</f>
        <v>801</v>
      </c>
      <c r="E31" s="68">
        <f>AVERAGE(C29:C31)</f>
        <v>11146.666666666666</v>
      </c>
    </row>
    <row r="32" spans="1:10" x14ac:dyDescent="0.3">
      <c r="A32" s="69">
        <v>2017</v>
      </c>
      <c r="B32" s="6">
        <v>2583</v>
      </c>
      <c r="C32" s="6">
        <v>9601</v>
      </c>
      <c r="D32" s="68">
        <f t="shared" ref="D32:D40" si="5">AVERAGE(B30:B32)</f>
        <v>1467</v>
      </c>
      <c r="E32" s="68">
        <f t="shared" ref="E32:E40" si="6">AVERAGE(C30:C32)</f>
        <v>10445.666666666666</v>
      </c>
    </row>
    <row r="33" spans="1:5" x14ac:dyDescent="0.3">
      <c r="A33" s="67">
        <v>2018</v>
      </c>
      <c r="B33" s="6">
        <v>4694</v>
      </c>
      <c r="C33" s="6">
        <v>21053</v>
      </c>
      <c r="D33" s="68">
        <f t="shared" si="5"/>
        <v>2832</v>
      </c>
      <c r="E33" s="68">
        <f t="shared" si="6"/>
        <v>13656.666666666666</v>
      </c>
    </row>
    <row r="34" spans="1:5" x14ac:dyDescent="0.3">
      <c r="A34" s="69">
        <v>2019</v>
      </c>
      <c r="B34" s="6">
        <v>2411</v>
      </c>
      <c r="C34" s="6">
        <v>21048</v>
      </c>
      <c r="D34" s="68">
        <f>AVERAGE(B32:B34)</f>
        <v>3229.3333333333335</v>
      </c>
      <c r="E34" s="68">
        <f t="shared" si="6"/>
        <v>17234</v>
      </c>
    </row>
    <row r="35" spans="1:5" x14ac:dyDescent="0.3">
      <c r="A35" s="67">
        <v>2020</v>
      </c>
      <c r="B35" s="6">
        <v>3826</v>
      </c>
      <c r="C35" s="6">
        <v>20899</v>
      </c>
      <c r="D35" s="68">
        <f t="shared" si="5"/>
        <v>3643.6666666666665</v>
      </c>
      <c r="E35" s="68">
        <f t="shared" si="6"/>
        <v>21000</v>
      </c>
    </row>
    <row r="36" spans="1:5" x14ac:dyDescent="0.3">
      <c r="A36" s="69">
        <v>2021</v>
      </c>
      <c r="B36" s="6">
        <v>8207</v>
      </c>
      <c r="C36" s="6">
        <v>19868</v>
      </c>
      <c r="D36" s="68">
        <f t="shared" si="5"/>
        <v>4814.666666666667</v>
      </c>
      <c r="E36" s="68">
        <f t="shared" si="6"/>
        <v>20605</v>
      </c>
    </row>
    <row r="37" spans="1:5" x14ac:dyDescent="0.3">
      <c r="A37" s="67">
        <v>2022</v>
      </c>
      <c r="B37" s="6">
        <v>5956</v>
      </c>
      <c r="C37" s="6">
        <v>8014</v>
      </c>
      <c r="D37" s="68">
        <f t="shared" si="5"/>
        <v>5996.333333333333</v>
      </c>
      <c r="E37" s="68">
        <f t="shared" si="6"/>
        <v>16260.333333333334</v>
      </c>
    </row>
    <row r="38" spans="1:5" x14ac:dyDescent="0.3">
      <c r="A38" s="69">
        <v>2023</v>
      </c>
      <c r="B38" s="6">
        <v>18888</v>
      </c>
      <c r="C38" s="6">
        <v>1689</v>
      </c>
      <c r="D38" s="68">
        <f t="shared" si="5"/>
        <v>11017</v>
      </c>
      <c r="E38" s="68">
        <f t="shared" si="6"/>
        <v>9857</v>
      </c>
    </row>
    <row r="39" spans="1:5" x14ac:dyDescent="0.3">
      <c r="A39" s="67">
        <v>2024</v>
      </c>
      <c r="B39" s="6">
        <v>63075</v>
      </c>
      <c r="C39" s="6">
        <v>-18756</v>
      </c>
      <c r="D39" s="68">
        <f t="shared" si="5"/>
        <v>29306.333333333332</v>
      </c>
      <c r="E39" s="68">
        <f t="shared" si="6"/>
        <v>-3017.6666666666665</v>
      </c>
    </row>
    <row r="40" spans="1:5" x14ac:dyDescent="0.3">
      <c r="A40" s="69">
        <v>2025</v>
      </c>
      <c r="B40" s="7">
        <v>99198</v>
      </c>
      <c r="C40" s="7">
        <v>-267</v>
      </c>
      <c r="D40" s="68">
        <f t="shared" si="5"/>
        <v>60387</v>
      </c>
      <c r="E40" s="68">
        <f t="shared" si="6"/>
        <v>-5778</v>
      </c>
    </row>
    <row r="49" spans="1:3" x14ac:dyDescent="0.3">
      <c r="A49" s="70" t="s">
        <v>31</v>
      </c>
      <c r="B49" s="70" t="s">
        <v>80</v>
      </c>
      <c r="C49" s="70" t="s">
        <v>81</v>
      </c>
    </row>
    <row r="50" spans="1:3" x14ac:dyDescent="0.3">
      <c r="A50" s="71">
        <v>2014</v>
      </c>
      <c r="B50" s="72">
        <v>2518</v>
      </c>
      <c r="C50" s="73">
        <v>35609</v>
      </c>
    </row>
    <row r="51" spans="1:3" x14ac:dyDescent="0.3">
      <c r="A51" s="71">
        <v>2015</v>
      </c>
      <c r="B51" s="72">
        <v>2721</v>
      </c>
      <c r="C51" s="73">
        <v>34679</v>
      </c>
    </row>
    <row r="52" spans="1:3" x14ac:dyDescent="0.3">
      <c r="A52" s="71">
        <v>2016</v>
      </c>
      <c r="B52" s="72">
        <v>3550</v>
      </c>
      <c r="C52" s="73">
        <v>36233</v>
      </c>
    </row>
    <row r="53" spans="1:3" x14ac:dyDescent="0.3">
      <c r="A53" s="71">
        <v>2017</v>
      </c>
      <c r="B53" s="72">
        <v>5324</v>
      </c>
      <c r="C53" s="73">
        <v>39098</v>
      </c>
    </row>
    <row r="54" spans="1:3" x14ac:dyDescent="0.3">
      <c r="A54" s="71">
        <v>2018</v>
      </c>
      <c r="B54" s="72">
        <v>7765</v>
      </c>
      <c r="C54" s="73">
        <v>43737</v>
      </c>
    </row>
    <row r="55" spans="1:3" x14ac:dyDescent="0.3">
      <c r="A55" s="71">
        <v>2019</v>
      </c>
      <c r="B55" s="72">
        <v>5960</v>
      </c>
      <c r="C55" s="73">
        <v>42140</v>
      </c>
    </row>
    <row r="56" spans="1:3" x14ac:dyDescent="0.3">
      <c r="A56" s="71">
        <v>2020</v>
      </c>
      <c r="B56" s="72">
        <v>9254</v>
      </c>
      <c r="C56" s="73">
        <v>43612</v>
      </c>
    </row>
    <row r="57" spans="1:3" x14ac:dyDescent="0.3">
      <c r="A57" s="71">
        <v>2021</v>
      </c>
      <c r="B57" s="72">
        <v>15632</v>
      </c>
      <c r="C57" s="73">
        <v>43815</v>
      </c>
    </row>
    <row r="58" spans="1:3" x14ac:dyDescent="0.3">
      <c r="A58" s="71">
        <v>2022</v>
      </c>
      <c r="B58" s="72">
        <v>16523</v>
      </c>
      <c r="C58" s="73">
        <v>26866</v>
      </c>
    </row>
    <row r="59" spans="1:3" x14ac:dyDescent="0.3">
      <c r="A59" s="71">
        <v>2023</v>
      </c>
      <c r="B59" s="72">
        <v>31343</v>
      </c>
      <c r="C59" s="73">
        <v>21711</v>
      </c>
    </row>
    <row r="60" spans="1:3" x14ac:dyDescent="0.3">
      <c r="A60" s="71">
        <v>2024</v>
      </c>
      <c r="B60" s="72">
        <v>85927</v>
      </c>
      <c r="C60" s="73">
        <v>17345</v>
      </c>
    </row>
    <row r="61" spans="1:3" x14ac:dyDescent="0.3">
      <c r="A61" s="71">
        <v>2025</v>
      </c>
      <c r="B61" s="74">
        <v>131092</v>
      </c>
      <c r="C61" s="75">
        <v>18375</v>
      </c>
    </row>
    <row r="90" spans="1:3" ht="26.4" x14ac:dyDescent="0.3">
      <c r="A90" s="70" t="s">
        <v>31</v>
      </c>
      <c r="B90" s="70" t="s">
        <v>21</v>
      </c>
      <c r="C90" s="70" t="s">
        <v>17</v>
      </c>
    </row>
    <row r="91" spans="1:3" x14ac:dyDescent="0.3">
      <c r="A91" s="71">
        <v>2014</v>
      </c>
      <c r="B91" s="6">
        <v>585</v>
      </c>
      <c r="C91" s="6">
        <v>11704</v>
      </c>
    </row>
    <row r="92" spans="1:3" x14ac:dyDescent="0.3">
      <c r="A92" s="71">
        <v>2015</v>
      </c>
      <c r="B92" s="6">
        <v>599</v>
      </c>
      <c r="C92" s="6">
        <v>11420</v>
      </c>
    </row>
    <row r="93" spans="1:3" x14ac:dyDescent="0.3">
      <c r="A93" s="71">
        <v>2016</v>
      </c>
      <c r="B93" s="6">
        <v>1219</v>
      </c>
      <c r="C93" s="6">
        <v>10316</v>
      </c>
    </row>
    <row r="94" spans="1:3" x14ac:dyDescent="0.3">
      <c r="A94" s="71">
        <v>2017</v>
      </c>
      <c r="B94" s="6">
        <v>2583</v>
      </c>
      <c r="C94" s="6">
        <v>9601</v>
      </c>
    </row>
    <row r="95" spans="1:3" x14ac:dyDescent="0.3">
      <c r="A95" s="71">
        <v>2018</v>
      </c>
      <c r="B95" s="6">
        <v>4694</v>
      </c>
      <c r="C95" s="6">
        <v>21053</v>
      </c>
    </row>
    <row r="96" spans="1:3" x14ac:dyDescent="0.3">
      <c r="A96" s="71">
        <v>2019</v>
      </c>
      <c r="B96" s="6">
        <v>2411</v>
      </c>
      <c r="C96" s="6">
        <v>21048</v>
      </c>
    </row>
    <row r="97" spans="1:3" x14ac:dyDescent="0.3">
      <c r="A97" s="71">
        <v>2020</v>
      </c>
      <c r="B97" s="6">
        <v>3826</v>
      </c>
      <c r="C97" s="6">
        <v>20899</v>
      </c>
    </row>
    <row r="98" spans="1:3" x14ac:dyDescent="0.3">
      <c r="A98" s="71">
        <v>2021</v>
      </c>
      <c r="B98" s="6">
        <v>8207</v>
      </c>
      <c r="C98" s="6">
        <v>19868</v>
      </c>
    </row>
    <row r="99" spans="1:3" x14ac:dyDescent="0.3">
      <c r="A99" s="71">
        <v>2022</v>
      </c>
      <c r="B99" s="6">
        <v>5956</v>
      </c>
      <c r="C99" s="6">
        <v>8014</v>
      </c>
    </row>
    <row r="100" spans="1:3" x14ac:dyDescent="0.3">
      <c r="A100" s="71">
        <v>2023</v>
      </c>
      <c r="B100" s="6">
        <v>18888</v>
      </c>
      <c r="C100" s="6">
        <v>1689</v>
      </c>
    </row>
    <row r="101" spans="1:3" x14ac:dyDescent="0.3">
      <c r="A101" s="71">
        <v>2024</v>
      </c>
      <c r="B101" s="6">
        <v>63075</v>
      </c>
      <c r="C101" s="6">
        <v>-18756</v>
      </c>
    </row>
    <row r="102" spans="1:3" x14ac:dyDescent="0.3">
      <c r="A102" s="71">
        <v>2025</v>
      </c>
      <c r="B102" s="7">
        <v>99198</v>
      </c>
      <c r="C102" s="7">
        <v>-267</v>
      </c>
    </row>
  </sheetData>
  <mergeCells count="3">
    <mergeCell ref="A1:J1"/>
    <mergeCell ref="A11:J11"/>
    <mergeCell ref="A27:E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1470-17D1-44F5-8D4B-0281B70A5D0A}">
  <dimension ref="A1:M64"/>
  <sheetViews>
    <sheetView zoomScale="95" zoomScaleNormal="95" workbookViewId="0">
      <selection activeCell="B57" sqref="B57"/>
    </sheetView>
  </sheetViews>
  <sheetFormatPr defaultColWidth="8.5546875" defaultRowHeight="14.4" x14ac:dyDescent="0.3"/>
  <cols>
    <col min="1" max="1" width="1.44140625" customWidth="1"/>
    <col min="2" max="3" width="16" customWidth="1"/>
    <col min="4" max="4" width="1.44140625" customWidth="1"/>
    <col min="5" max="6" width="16" customWidth="1"/>
    <col min="7" max="7" width="1.44140625" customWidth="1"/>
    <col min="8" max="9" width="16" customWidth="1"/>
    <col min="10" max="10" width="1.44140625" customWidth="1"/>
    <col min="11" max="12" width="16" customWidth="1"/>
    <col min="13" max="13" width="1.44140625" customWidth="1"/>
  </cols>
  <sheetData>
    <row r="1" spans="1:13" ht="7.5" customHeigh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37.5" customHeight="1" x14ac:dyDescent="0.3">
      <c r="A2" s="76"/>
      <c r="B2" s="87" t="s">
        <v>82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76"/>
    </row>
    <row r="3" spans="1:13" ht="19.5" customHeight="1" x14ac:dyDescent="0.3">
      <c r="A3" s="76"/>
      <c r="B3" s="88" t="s">
        <v>83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76"/>
    </row>
    <row r="4" spans="1:13" ht="7.5" customHeight="1" x14ac:dyDescent="0.3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9.5" customHeight="1" x14ac:dyDescent="0.3">
      <c r="A5" s="77"/>
      <c r="B5" s="82" t="s">
        <v>84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77"/>
    </row>
    <row r="6" spans="1:13" ht="19.5" customHeight="1" x14ac:dyDescent="0.3">
      <c r="A6" s="78"/>
      <c r="B6" s="86" t="s">
        <v>85</v>
      </c>
      <c r="C6" s="86"/>
      <c r="D6" s="78"/>
      <c r="E6" s="86" t="s">
        <v>86</v>
      </c>
      <c r="F6" s="86"/>
      <c r="G6" s="78"/>
      <c r="H6" s="86" t="s">
        <v>87</v>
      </c>
      <c r="I6" s="86"/>
      <c r="J6" s="78"/>
      <c r="K6" s="86" t="s">
        <v>88</v>
      </c>
      <c r="L6" s="86"/>
      <c r="M6" s="78"/>
    </row>
    <row r="7" spans="1:13" ht="31.5" customHeight="1" x14ac:dyDescent="0.3">
      <c r="A7" s="78"/>
      <c r="B7" s="83">
        <f>[1]Sheet4!B24</f>
        <v>99198</v>
      </c>
      <c r="C7" s="83"/>
      <c r="D7" s="78"/>
      <c r="E7" s="84">
        <f>[1]Sheet4!C24</f>
        <v>-267</v>
      </c>
      <c r="F7" s="84"/>
      <c r="G7" s="78"/>
      <c r="H7" s="83">
        <f>[1]Sheet4!D24</f>
        <v>131092</v>
      </c>
      <c r="I7" s="83"/>
      <c r="J7" s="78"/>
      <c r="K7" s="85">
        <f>[1]Sheet4!E24</f>
        <v>18375</v>
      </c>
      <c r="L7" s="85"/>
      <c r="M7" s="78"/>
    </row>
    <row r="8" spans="1:13" ht="7.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</row>
    <row r="9" spans="1:13" ht="19.5" customHeight="1" x14ac:dyDescent="0.3">
      <c r="A9" s="78"/>
      <c r="B9" s="86" t="s">
        <v>89</v>
      </c>
      <c r="C9" s="86"/>
      <c r="D9" s="78"/>
      <c r="E9" s="86" t="s">
        <v>90</v>
      </c>
      <c r="F9" s="86"/>
      <c r="G9" s="78"/>
      <c r="H9" s="86" t="s">
        <v>91</v>
      </c>
      <c r="I9" s="86"/>
      <c r="J9" s="78"/>
      <c r="K9" s="86" t="s">
        <v>92</v>
      </c>
      <c r="L9" s="86"/>
      <c r="M9" s="78"/>
    </row>
    <row r="10" spans="1:13" ht="31.5" customHeight="1" x14ac:dyDescent="0.3">
      <c r="A10" s="78"/>
      <c r="B10" s="79">
        <f>[1]Sheet4!F3</f>
        <v>0.5946593133516298</v>
      </c>
      <c r="C10" s="79"/>
      <c r="D10" s="78"/>
      <c r="E10" s="80">
        <f>[1]Sheet4!I3</f>
        <v>-1.7091585754390062</v>
      </c>
      <c r="F10" s="80"/>
      <c r="G10" s="78"/>
      <c r="H10" s="79">
        <f>[1]Sheet4!F5</f>
        <v>0.85802242348521429</v>
      </c>
      <c r="I10" s="79"/>
      <c r="J10" s="78"/>
      <c r="K10" s="81" t="str">
        <f>IF(ISNUMBER([1]Sheet4!I5),[1]Sheet4!I5,"N/A")</f>
        <v>N/A</v>
      </c>
      <c r="L10" s="81"/>
      <c r="M10" s="78"/>
    </row>
    <row r="11" spans="1:13" ht="7.5" customHeight="1" x14ac:dyDescent="0.3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</row>
    <row r="12" spans="1:13" ht="19.5" customHeight="1" x14ac:dyDescent="0.3">
      <c r="A12" s="77"/>
      <c r="B12" s="82" t="s">
        <v>93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77"/>
    </row>
    <row r="13" spans="1:13" ht="15.75" customHeight="1" x14ac:dyDescent="0.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1:13" ht="15.75" customHeight="1" x14ac:dyDescent="0.3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</row>
    <row r="15" spans="1:13" ht="15.75" customHeight="1" x14ac:dyDescent="0.3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</row>
    <row r="16" spans="1:13" ht="15.75" customHeight="1" x14ac:dyDescent="0.3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</row>
    <row r="17" spans="1:13" ht="15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</row>
    <row r="18" spans="1:13" ht="15.75" customHeight="1" x14ac:dyDescent="0.3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</row>
    <row r="19" spans="1:13" ht="15.75" customHeight="1" x14ac:dyDescent="0.3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ht="15.75" customHeight="1" x14ac:dyDescent="0.3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1" spans="1:13" ht="15.75" customHeight="1" x14ac:dyDescent="0.3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spans="1:13" ht="15.75" customHeight="1" x14ac:dyDescent="0.3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</row>
    <row r="23" spans="1:13" ht="15.75" customHeight="1" x14ac:dyDescent="0.3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</row>
    <row r="24" spans="1:13" ht="15.75" customHeight="1" x14ac:dyDescent="0.3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</row>
    <row r="25" spans="1:13" ht="15.75" customHeight="1" x14ac:dyDescent="0.3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</row>
    <row r="26" spans="1:13" ht="15.75" customHeight="1" x14ac:dyDescent="0.3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</row>
    <row r="27" spans="1:13" ht="15.75" customHeight="1" x14ac:dyDescent="0.3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</row>
    <row r="28" spans="1:13" ht="15.75" customHeight="1" x14ac:dyDescent="0.3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</row>
    <row r="29" spans="1:13" ht="15.75" customHeight="1" x14ac:dyDescent="0.3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</row>
    <row r="30" spans="1:13" ht="15.75" customHeight="1" x14ac:dyDescent="0.3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</row>
    <row r="31" spans="1:13" ht="15.75" customHeight="1" x14ac:dyDescent="0.3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</row>
    <row r="32" spans="1:13" ht="15.75" customHeight="1" x14ac:dyDescent="0.3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</row>
    <row r="33" spans="1:13" ht="15.75" customHeight="1" x14ac:dyDescent="0.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</row>
    <row r="34" spans="1:13" ht="15.75" customHeight="1" x14ac:dyDescent="0.3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</row>
    <row r="35" spans="1:13" ht="15.75" customHeight="1" x14ac:dyDescent="0.3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</row>
    <row r="36" spans="1:13" ht="15.75" customHeight="1" x14ac:dyDescent="0.3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</row>
    <row r="37" spans="1:13" ht="15.75" customHeight="1" x14ac:dyDescent="0.3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</row>
    <row r="38" spans="1:13" ht="15.75" customHeight="1" x14ac:dyDescent="0.3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</row>
    <row r="39" spans="1:13" ht="15.75" customHeight="1" x14ac:dyDescent="0.3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</row>
    <row r="40" spans="1:13" ht="15.75" customHeight="1" x14ac:dyDescent="0.3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</row>
    <row r="41" spans="1:13" ht="15.75" customHeight="1" x14ac:dyDescent="0.3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</row>
    <row r="42" spans="1:13" ht="15.75" customHeight="1" x14ac:dyDescent="0.3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</row>
    <row r="43" spans="1:13" ht="15.75" customHeight="1" x14ac:dyDescent="0.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</row>
    <row r="44" spans="1:13" ht="15.75" customHeight="1" x14ac:dyDescent="0.3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</row>
    <row r="45" spans="1:13" ht="15.75" customHeight="1" x14ac:dyDescent="0.3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3" ht="15.75" customHeight="1" x14ac:dyDescent="0.3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</row>
    <row r="47" spans="1:13" ht="15.75" customHeight="1" x14ac:dyDescent="0.3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</row>
    <row r="48" spans="1:13" ht="15.75" customHeight="1" x14ac:dyDescent="0.3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</row>
    <row r="49" spans="1:13" ht="15.75" customHeight="1" x14ac:dyDescent="0.3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</row>
    <row r="50" spans="1:13" ht="15.75" customHeight="1" x14ac:dyDescent="0.3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</row>
    <row r="51" spans="1:13" ht="15.75" customHeight="1" x14ac:dyDescent="0.3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</row>
    <row r="52" spans="1:13" ht="15.75" customHeight="1" x14ac:dyDescent="0.3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</row>
    <row r="53" spans="1:13" ht="15.75" customHeight="1" x14ac:dyDescent="0.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</row>
    <row r="54" spans="1:13" ht="15.75" customHeight="1" x14ac:dyDescent="0.3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</row>
    <row r="55" spans="1:13" ht="15.75" customHeight="1" x14ac:dyDescent="0.3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</row>
    <row r="56" spans="1:13" ht="15.75" customHeight="1" x14ac:dyDescent="0.3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</row>
    <row r="57" spans="1:13" ht="15.75" customHeight="1" x14ac:dyDescent="0.3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</row>
    <row r="58" spans="1:13" ht="15.75" customHeight="1" x14ac:dyDescent="0.3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</row>
    <row r="59" spans="1:13" ht="15.75" customHeight="1" x14ac:dyDescent="0.3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</row>
    <row r="60" spans="1:13" ht="15.75" customHeight="1" x14ac:dyDescent="0.3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</row>
    <row r="61" spans="1:13" ht="15.75" customHeight="1" x14ac:dyDescent="0.3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</row>
    <row r="62" spans="1:13" ht="15.75" customHeight="1" x14ac:dyDescent="0.3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</row>
    <row r="63" spans="1:13" ht="15.75" customHeight="1" x14ac:dyDescent="0.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</row>
    <row r="64" spans="1:13" ht="15.75" customHeight="1" x14ac:dyDescent="0.3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</row>
  </sheetData>
  <mergeCells count="20">
    <mergeCell ref="B2:L2"/>
    <mergeCell ref="B3:L3"/>
    <mergeCell ref="B5:L5"/>
    <mergeCell ref="B6:C6"/>
    <mergeCell ref="E6:F6"/>
    <mergeCell ref="H6:I6"/>
    <mergeCell ref="K6:L6"/>
    <mergeCell ref="B7:C7"/>
    <mergeCell ref="E7:F7"/>
    <mergeCell ref="H7:I7"/>
    <mergeCell ref="K7:L7"/>
    <mergeCell ref="B9:C9"/>
    <mergeCell ref="E9:F9"/>
    <mergeCell ref="H9:I9"/>
    <mergeCell ref="K9:L9"/>
    <mergeCell ref="B10:C10"/>
    <mergeCell ref="E10:F10"/>
    <mergeCell ref="H10:I10"/>
    <mergeCell ref="K10:L10"/>
    <mergeCell ref="B12:L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Income_Profit Analysis</vt:lpstr>
      <vt:lpstr>Growth Rate Analysis</vt:lpstr>
      <vt:lpstr>Summary Dashboard</vt:lpstr>
      <vt:lpstr>Relevant Matrics</vt:lpstr>
      <vt:lpstr>Dashboad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Sajitha Sujan</dc:creator>
  <cp:lastModifiedBy>Kalpesh Dimble</cp:lastModifiedBy>
  <dcterms:created xsi:type="dcterms:W3CDTF">2026-04-20T12:23:12Z</dcterms:created>
  <dcterms:modified xsi:type="dcterms:W3CDTF">2026-04-30T18:52:16Z</dcterms:modified>
</cp:coreProperties>
</file>